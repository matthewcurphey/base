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Coding\CodeFiles\Master\backing\worked_hours\"/>
    </mc:Choice>
  </mc:AlternateContent>
  <xr:revisionPtr revIDLastSave="0" documentId="13_ncr:1_{4CD6D32B-6377-44D2-91B3-F23EACEB1C5C}" xr6:coauthVersionLast="47" xr6:coauthVersionMax="47" xr10:uidLastSave="{00000000-0000-0000-0000-000000000000}"/>
  <bookViews>
    <workbookView xWindow="6180" yWindow="2295" windowWidth="43200" windowHeight="17145" xr2:uid="{00000000-000D-0000-FFFF-FFFF00000000}"/>
  </bookViews>
  <sheets>
    <sheet name="EmployeeHoursByJob_375d701b-2b9" sheetId="1" r:id="rId1"/>
  </sheets>
  <definedNames>
    <definedName name="_xlnm._FilterDatabase" localSheetId="0" hidden="1">'EmployeeHoursByJob_375d701b-2b9'!$A$1:$M$1097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9" i="1" l="1"/>
  <c r="M119" i="1" s="1"/>
  <c r="K374" i="1"/>
  <c r="M374" i="1" s="1"/>
  <c r="K322" i="1"/>
  <c r="M322" i="1" s="1"/>
  <c r="K124" i="1"/>
  <c r="M124" i="1" s="1"/>
  <c r="K186" i="1"/>
  <c r="M186" i="1" s="1"/>
  <c r="K447" i="1"/>
  <c r="M447" i="1" s="1"/>
  <c r="K486" i="1"/>
  <c r="M486" i="1" s="1"/>
  <c r="K161" i="1"/>
  <c r="M161" i="1" s="1"/>
  <c r="K371" i="1"/>
  <c r="M371" i="1" s="1"/>
  <c r="K346" i="1"/>
  <c r="M346" i="1" s="1"/>
  <c r="K505" i="1"/>
  <c r="M505" i="1" s="1"/>
  <c r="K344" i="1"/>
  <c r="M344" i="1" s="1"/>
  <c r="K26" i="1"/>
  <c r="M26" i="1" s="1"/>
  <c r="K145" i="1"/>
  <c r="M145" i="1" s="1"/>
  <c r="K528" i="1"/>
  <c r="M528" i="1" s="1"/>
  <c r="K225" i="1"/>
  <c r="M225" i="1" s="1"/>
  <c r="K120" i="1"/>
  <c r="M120" i="1" s="1"/>
  <c r="K432" i="1"/>
  <c r="M432" i="1" s="1"/>
  <c r="K230" i="1"/>
  <c r="M230" i="1" s="1"/>
  <c r="K302" i="1"/>
  <c r="M302" i="1" s="1"/>
  <c r="K574" i="1"/>
  <c r="M574" i="1" s="1"/>
  <c r="K190" i="1"/>
  <c r="M190" i="1" s="1"/>
  <c r="K46" i="1"/>
  <c r="M46" i="1" s="1"/>
  <c r="K672" i="1"/>
  <c r="M672" i="1" s="1"/>
  <c r="K428" i="1"/>
  <c r="M428" i="1" s="1"/>
  <c r="K79" i="1"/>
  <c r="M79" i="1" s="1"/>
  <c r="K297" i="1"/>
  <c r="M297" i="1" s="1"/>
  <c r="K72" i="1"/>
  <c r="M72" i="1" s="1"/>
  <c r="K113" i="1"/>
  <c r="M113" i="1" s="1"/>
  <c r="K106" i="1"/>
  <c r="M106" i="1" s="1"/>
  <c r="K378" i="1"/>
  <c r="M378" i="1" s="1"/>
  <c r="K631" i="1"/>
  <c r="M631" i="1" s="1"/>
  <c r="K323" i="1"/>
  <c r="M323" i="1" s="1"/>
  <c r="K208" i="1"/>
  <c r="M208" i="1" s="1"/>
  <c r="K492" i="1"/>
  <c r="M492" i="1" s="1"/>
  <c r="K537" i="1"/>
  <c r="M537" i="1" s="1"/>
  <c r="K183" i="1"/>
  <c r="M183" i="1" s="1"/>
  <c r="K397" i="1"/>
  <c r="M397" i="1" s="1"/>
  <c r="K169" i="1"/>
  <c r="M169" i="1" s="1"/>
  <c r="K493" i="1"/>
  <c r="M493" i="1" s="1"/>
  <c r="K314" i="1"/>
  <c r="M314" i="1" s="1"/>
  <c r="K651" i="1"/>
  <c r="M651" i="1" s="1"/>
  <c r="K318" i="1"/>
  <c r="M318" i="1" s="1"/>
  <c r="K439" i="1"/>
  <c r="M439" i="1" s="1"/>
  <c r="K442" i="1"/>
  <c r="M442" i="1" s="1"/>
  <c r="K24" i="1"/>
  <c r="M24" i="1" s="1"/>
  <c r="K296" i="1"/>
  <c r="M296" i="1" s="1"/>
  <c r="K514" i="1"/>
  <c r="M514" i="1" s="1"/>
  <c r="K254" i="1"/>
  <c r="M254" i="1" s="1"/>
  <c r="K328" i="1"/>
  <c r="M328" i="1" s="1"/>
  <c r="K345" i="1"/>
  <c r="M345" i="1" s="1"/>
  <c r="K203" i="1"/>
  <c r="M203" i="1" s="1"/>
  <c r="K267" i="1"/>
  <c r="M267" i="1" s="1"/>
  <c r="K295" i="1"/>
  <c r="M295" i="1" s="1"/>
  <c r="K632" i="1"/>
  <c r="M632" i="1" s="1"/>
  <c r="K242" i="1"/>
  <c r="M242" i="1" s="1"/>
  <c r="K610" i="1"/>
  <c r="M610" i="1" s="1"/>
  <c r="K652" i="1"/>
  <c r="M652" i="1" s="1"/>
  <c r="K520" i="1"/>
  <c r="M520" i="1" s="1"/>
  <c r="K116" i="1"/>
  <c r="M116" i="1" s="1"/>
  <c r="K258" i="1"/>
  <c r="M258" i="1" s="1"/>
  <c r="K372" i="1"/>
  <c r="M372" i="1" s="1"/>
  <c r="K206" i="1"/>
  <c r="M206" i="1" s="1"/>
  <c r="K307" i="1"/>
  <c r="M307" i="1" s="1"/>
  <c r="K278" i="1"/>
  <c r="M278" i="1" s="1"/>
  <c r="K86" i="1"/>
  <c r="M86" i="1" s="1"/>
  <c r="K427" i="1"/>
  <c r="M427" i="1" s="1"/>
  <c r="K140" i="1"/>
  <c r="M140" i="1" s="1"/>
  <c r="K253" i="1"/>
  <c r="M253" i="1" s="1"/>
  <c r="K234" i="1"/>
  <c r="M234" i="1" s="1"/>
  <c r="K675" i="1"/>
  <c r="M675" i="1" s="1"/>
  <c r="K309" i="1"/>
  <c r="M309" i="1" s="1"/>
  <c r="K280" i="1"/>
  <c r="M280" i="1" s="1"/>
  <c r="K51" i="1"/>
  <c r="M51" i="1" s="1"/>
  <c r="K286" i="1"/>
  <c r="M286" i="1" s="1"/>
  <c r="K682" i="1"/>
  <c r="M682" i="1" s="1"/>
  <c r="K622" i="1"/>
  <c r="M622" i="1" s="1"/>
  <c r="K590" i="1"/>
  <c r="M590" i="1" s="1"/>
  <c r="K576" i="1"/>
  <c r="M576" i="1" s="1"/>
  <c r="K563" i="1"/>
  <c r="M563" i="1" s="1"/>
  <c r="K437" i="1"/>
  <c r="M437" i="1" s="1"/>
  <c r="K653" i="1"/>
  <c r="M653" i="1" s="1"/>
  <c r="K364" i="1"/>
  <c r="M364" i="1" s="1"/>
  <c r="K112" i="1"/>
  <c r="M112" i="1" s="1"/>
  <c r="K71" i="1"/>
  <c r="M71" i="1" s="1"/>
  <c r="K560" i="1"/>
  <c r="M560" i="1" s="1"/>
  <c r="K510" i="1"/>
  <c r="M510" i="1" s="1"/>
  <c r="K63" i="1"/>
  <c r="M63" i="1" s="1"/>
  <c r="K433" i="1"/>
  <c r="M433" i="1" s="1"/>
  <c r="K572" i="1"/>
  <c r="M572" i="1" s="1"/>
  <c r="K385" i="1"/>
  <c r="M385" i="1" s="1"/>
  <c r="K298" i="1"/>
  <c r="M298" i="1" s="1"/>
  <c r="K292" i="1"/>
  <c r="M292" i="1" s="1"/>
  <c r="K338" i="1"/>
  <c r="M338" i="1" s="1"/>
  <c r="K80" i="1"/>
  <c r="M80" i="1" s="1"/>
  <c r="K11" i="1"/>
  <c r="M11" i="1" s="1"/>
  <c r="K542" i="1"/>
  <c r="M542" i="1" s="1"/>
  <c r="K649" i="1"/>
  <c r="M649" i="1" s="1"/>
  <c r="K235" i="1"/>
  <c r="M235" i="1" s="1"/>
  <c r="K236" i="1"/>
  <c r="M236" i="1" s="1"/>
  <c r="K100" i="1"/>
  <c r="M100" i="1" s="1"/>
  <c r="K250" i="1"/>
  <c r="M250" i="1" s="1"/>
  <c r="K243" i="1"/>
  <c r="M243" i="1" s="1"/>
  <c r="K96" i="1"/>
  <c r="M96" i="1" s="1"/>
  <c r="K348" i="1"/>
  <c r="M348" i="1" s="1"/>
  <c r="K475" i="1"/>
  <c r="M475" i="1" s="1"/>
  <c r="K395" i="1"/>
  <c r="M395" i="1" s="1"/>
  <c r="K164" i="1"/>
  <c r="M164" i="1" s="1"/>
  <c r="K214" i="1"/>
  <c r="M214" i="1" s="1"/>
  <c r="K460" i="1"/>
  <c r="M460" i="1" s="1"/>
  <c r="K411" i="1"/>
  <c r="M411" i="1" s="1"/>
  <c r="K584" i="1"/>
  <c r="M584" i="1" s="1"/>
  <c r="K62" i="1"/>
  <c r="M62" i="1" s="1"/>
  <c r="K159" i="1"/>
  <c r="M159" i="1" s="1"/>
  <c r="K224" i="1"/>
  <c r="M224" i="1" s="1"/>
  <c r="K502" i="1"/>
  <c r="M502" i="1" s="1"/>
  <c r="K259" i="1"/>
  <c r="M259" i="1" s="1"/>
  <c r="K508" i="1"/>
  <c r="M508" i="1" s="1"/>
  <c r="K66" i="1"/>
  <c r="M66" i="1" s="1"/>
  <c r="K373" i="1"/>
  <c r="M373" i="1" s="1"/>
  <c r="K299" i="1"/>
  <c r="M299" i="1" s="1"/>
  <c r="K568" i="1"/>
  <c r="M568" i="1" s="1"/>
  <c r="K168" i="1"/>
  <c r="M168" i="1" s="1"/>
  <c r="K218" i="1"/>
  <c r="M218" i="1" s="1"/>
  <c r="K181" i="1"/>
  <c r="M181" i="1" s="1"/>
  <c r="K540" i="1"/>
  <c r="M540" i="1" s="1"/>
  <c r="K454" i="1"/>
  <c r="M454" i="1" s="1"/>
  <c r="K239" i="1"/>
  <c r="M239" i="1" s="1"/>
  <c r="K375" i="1"/>
  <c r="M375" i="1" s="1"/>
  <c r="K349" i="1"/>
  <c r="M349" i="1" s="1"/>
  <c r="K494" i="1"/>
  <c r="M494" i="1" s="1"/>
  <c r="K45" i="1"/>
  <c r="M45" i="1" s="1"/>
  <c r="K64" i="1"/>
  <c r="M64" i="1" s="1"/>
  <c r="K316" i="1"/>
  <c r="M316" i="1" s="1"/>
  <c r="K365" i="1"/>
  <c r="M365" i="1" s="1"/>
  <c r="K600" i="1"/>
  <c r="M600" i="1" s="1"/>
  <c r="K399" i="1"/>
  <c r="M399" i="1" s="1"/>
  <c r="K351" i="1"/>
  <c r="M351" i="1" s="1"/>
  <c r="K669" i="1"/>
  <c r="M669" i="1" s="1"/>
  <c r="K569" i="1"/>
  <c r="M569" i="1" s="1"/>
  <c r="K260" i="1"/>
  <c r="M260" i="1" s="1"/>
  <c r="K361" i="1"/>
  <c r="M361" i="1" s="1"/>
  <c r="K90" i="1"/>
  <c r="M90" i="1" s="1"/>
  <c r="K68" i="1"/>
  <c r="M68" i="1" s="1"/>
  <c r="K74" i="1"/>
  <c r="M74" i="1" s="1"/>
  <c r="K95" i="1"/>
  <c r="M95" i="1" s="1"/>
  <c r="K198" i="1"/>
  <c r="M198" i="1" s="1"/>
  <c r="K202" i="1"/>
  <c r="M202" i="1" s="1"/>
  <c r="K255" i="1"/>
  <c r="M255" i="1" s="1"/>
  <c r="K19" i="1"/>
  <c r="M19" i="1" s="1"/>
  <c r="K533" i="1"/>
  <c r="M533" i="1" s="1"/>
  <c r="K606" i="1"/>
  <c r="M606" i="1" s="1"/>
  <c r="K65" i="1"/>
  <c r="M65" i="1" s="1"/>
  <c r="K462" i="1"/>
  <c r="M462" i="1" s="1"/>
  <c r="K654" i="1"/>
  <c r="M654" i="1" s="1"/>
  <c r="K676" i="1"/>
  <c r="M676" i="1" s="1"/>
  <c r="K324" i="1"/>
  <c r="M324" i="1" s="1"/>
  <c r="K416" i="1"/>
  <c r="M416" i="1" s="1"/>
  <c r="K128" i="1"/>
  <c r="M128" i="1" s="1"/>
  <c r="K498" i="1"/>
  <c r="M498" i="1" s="1"/>
  <c r="K366" i="1"/>
  <c r="M366" i="1" s="1"/>
  <c r="K579" i="1"/>
  <c r="M579" i="1" s="1"/>
  <c r="K7" i="1"/>
  <c r="M7" i="1" s="1"/>
  <c r="K468" i="1"/>
  <c r="M468" i="1" s="1"/>
  <c r="K438" i="1"/>
  <c r="M438" i="1" s="1"/>
  <c r="K126" i="1"/>
  <c r="M126" i="1" s="1"/>
  <c r="K414" i="1"/>
  <c r="M414" i="1" s="1"/>
  <c r="K417" i="1"/>
  <c r="M417" i="1" s="1"/>
  <c r="K175" i="1"/>
  <c r="M175" i="1" s="1"/>
  <c r="K173" i="1"/>
  <c r="M173" i="1" s="1"/>
  <c r="K147" i="1"/>
  <c r="M147" i="1" s="1"/>
  <c r="K170" i="1"/>
  <c r="M170" i="1" s="1"/>
  <c r="K332" i="1"/>
  <c r="M332" i="1" s="1"/>
  <c r="K135" i="1"/>
  <c r="M135" i="1" s="1"/>
  <c r="K677" i="1"/>
  <c r="M677" i="1" s="1"/>
  <c r="K500" i="1"/>
  <c r="M500" i="1" s="1"/>
  <c r="K573" i="1"/>
  <c r="M573" i="1" s="1"/>
  <c r="K471" i="1"/>
  <c r="M471" i="1" s="1"/>
  <c r="K480" i="1"/>
  <c r="M480" i="1" s="1"/>
  <c r="K73" i="1"/>
  <c r="M73" i="1" s="1"/>
  <c r="K237" i="1"/>
  <c r="M237" i="1" s="1"/>
  <c r="K155" i="1"/>
  <c r="M155" i="1" s="1"/>
  <c r="K588" i="1"/>
  <c r="M588" i="1" s="1"/>
  <c r="K596" i="1"/>
  <c r="M596" i="1" s="1"/>
  <c r="K463" i="1"/>
  <c r="M463" i="1" s="1"/>
  <c r="K315" i="1"/>
  <c r="M315" i="1" s="1"/>
  <c r="K326" i="1"/>
  <c r="M326" i="1" s="1"/>
  <c r="K142" i="1"/>
  <c r="M142" i="1" s="1"/>
  <c r="K536" i="1"/>
  <c r="M536" i="1" s="1"/>
  <c r="K30" i="1"/>
  <c r="M30" i="1" s="1"/>
  <c r="K187" i="1"/>
  <c r="M187" i="1" s="1"/>
  <c r="K97" i="1"/>
  <c r="M97" i="1" s="1"/>
  <c r="K376" i="1"/>
  <c r="M376" i="1" s="1"/>
  <c r="K504" i="1"/>
  <c r="M504" i="1" s="1"/>
  <c r="K192" i="1"/>
  <c r="M192" i="1" s="1"/>
  <c r="K483" i="1"/>
  <c r="M483" i="1" s="1"/>
  <c r="K294" i="1"/>
  <c r="M294" i="1" s="1"/>
  <c r="K268" i="1"/>
  <c r="M268" i="1" s="1"/>
  <c r="K252" i="1"/>
  <c r="M252" i="1" s="1"/>
  <c r="K488" i="1"/>
  <c r="M488" i="1" s="1"/>
  <c r="K511" i="1"/>
  <c r="M511" i="1" s="1"/>
  <c r="K308" i="1"/>
  <c r="M308" i="1" s="1"/>
  <c r="K356" i="1"/>
  <c r="M356" i="1" s="1"/>
  <c r="K449" i="1"/>
  <c r="M449" i="1" s="1"/>
  <c r="K575" i="1"/>
  <c r="M575" i="1" s="1"/>
  <c r="K637" i="1"/>
  <c r="M637" i="1" s="1"/>
  <c r="K247" i="1"/>
  <c r="M247" i="1" s="1"/>
  <c r="K616" i="1"/>
  <c r="M616" i="1" s="1"/>
  <c r="K685" i="1"/>
  <c r="M685" i="1" s="1"/>
  <c r="K200" i="1"/>
  <c r="M200" i="1" s="1"/>
  <c r="K516" i="1"/>
  <c r="M516" i="1" s="1"/>
  <c r="K42" i="1"/>
  <c r="M42" i="1" s="1"/>
  <c r="K491" i="1"/>
  <c r="M491" i="1" s="1"/>
  <c r="K52" i="1"/>
  <c r="M52" i="1" s="1"/>
  <c r="K509" i="1"/>
  <c r="M509" i="1" s="1"/>
  <c r="K406" i="1"/>
  <c r="M406" i="1" s="1"/>
  <c r="K476" i="1"/>
  <c r="M476" i="1" s="1"/>
  <c r="K215" i="1"/>
  <c r="M215" i="1" s="1"/>
  <c r="K139" i="1"/>
  <c r="M139" i="1" s="1"/>
  <c r="K448" i="1"/>
  <c r="M448" i="1" s="1"/>
  <c r="K386" i="1"/>
  <c r="M386" i="1" s="1"/>
  <c r="K370" i="1"/>
  <c r="M370" i="1" s="1"/>
  <c r="K379" i="1"/>
  <c r="M379" i="1" s="1"/>
  <c r="K668" i="1"/>
  <c r="M668" i="1" s="1"/>
  <c r="K618" i="1"/>
  <c r="M618" i="1" s="1"/>
  <c r="K424" i="1"/>
  <c r="M424" i="1" s="1"/>
  <c r="K189" i="1"/>
  <c r="M189" i="1" s="1"/>
  <c r="K525" i="1"/>
  <c r="M525" i="1" s="1"/>
  <c r="K401" i="1"/>
  <c r="M401" i="1" s="1"/>
  <c r="K303" i="1"/>
  <c r="M303" i="1" s="1"/>
  <c r="K102" i="1"/>
  <c r="M102" i="1" s="1"/>
  <c r="K465" i="1"/>
  <c r="M465" i="1" s="1"/>
  <c r="K469" i="1"/>
  <c r="M469" i="1" s="1"/>
  <c r="K248" i="1"/>
  <c r="M248" i="1" s="1"/>
  <c r="K353" i="1"/>
  <c r="M353" i="1" s="1"/>
  <c r="K13" i="1"/>
  <c r="M13" i="1" s="1"/>
  <c r="K640" i="1"/>
  <c r="M640" i="1" s="1"/>
  <c r="K577" i="1"/>
  <c r="M577" i="1" s="1"/>
  <c r="K593" i="1"/>
  <c r="M593" i="1" s="1"/>
  <c r="K451" i="1"/>
  <c r="M451" i="1" s="1"/>
  <c r="K419" i="1"/>
  <c r="M419" i="1" s="1"/>
  <c r="K269" i="1"/>
  <c r="M269" i="1" s="1"/>
  <c r="K233" i="1"/>
  <c r="M233" i="1" s="1"/>
  <c r="K284" i="1"/>
  <c r="M284" i="1" s="1"/>
  <c r="K497" i="1"/>
  <c r="M497" i="1" s="1"/>
  <c r="K152" i="1"/>
  <c r="M152" i="1" s="1"/>
  <c r="K564" i="1"/>
  <c r="M564" i="1" s="1"/>
  <c r="K389" i="1"/>
  <c r="M389" i="1" s="1"/>
  <c r="K558" i="1"/>
  <c r="M558" i="1" s="1"/>
  <c r="K335" i="1"/>
  <c r="M335" i="1" s="1"/>
  <c r="K452" i="1"/>
  <c r="M452" i="1" s="1"/>
  <c r="K44" i="1"/>
  <c r="M44" i="1" s="1"/>
  <c r="K535" i="1"/>
  <c r="M535" i="1" s="1"/>
  <c r="K57" i="1"/>
  <c r="M57" i="1" s="1"/>
  <c r="K50" i="1"/>
  <c r="M50" i="1" s="1"/>
  <c r="K481" i="1"/>
  <c r="M481" i="1" s="1"/>
  <c r="K513" i="1"/>
  <c r="M513" i="1" s="1"/>
  <c r="K29" i="1"/>
  <c r="M29" i="1" s="1"/>
  <c r="K6" i="1"/>
  <c r="M6" i="1" s="1"/>
  <c r="K456" i="1"/>
  <c r="M456" i="1" s="1"/>
  <c r="K194" i="1"/>
  <c r="M194" i="1" s="1"/>
  <c r="K98" i="1"/>
  <c r="M98" i="1" s="1"/>
  <c r="K648" i="1"/>
  <c r="M648" i="1" s="1"/>
  <c r="K92" i="1"/>
  <c r="M92" i="1" s="1"/>
  <c r="K557" i="1"/>
  <c r="M557" i="1" s="1"/>
  <c r="K131" i="1"/>
  <c r="M131" i="1" s="1"/>
  <c r="K527" i="1"/>
  <c r="M527" i="1" s="1"/>
  <c r="K362" i="1"/>
  <c r="M362" i="1" s="1"/>
  <c r="K485" i="1"/>
  <c r="M485" i="1" s="1"/>
  <c r="K585" i="1"/>
  <c r="M585" i="1" s="1"/>
  <c r="K199" i="1"/>
  <c r="M199" i="1" s="1"/>
  <c r="K15" i="1"/>
  <c r="M15" i="1" s="1"/>
  <c r="K613" i="1"/>
  <c r="M613" i="1" s="1"/>
  <c r="K559" i="1"/>
  <c r="M559" i="1" s="1"/>
  <c r="K136" i="1"/>
  <c r="M136" i="1" s="1"/>
  <c r="K270" i="1"/>
  <c r="M270" i="1" s="1"/>
  <c r="K165" i="1"/>
  <c r="M165" i="1" s="1"/>
  <c r="K655" i="1"/>
  <c r="M655" i="1" s="1"/>
  <c r="K241" i="1"/>
  <c r="M241" i="1" s="1"/>
  <c r="K229" i="1"/>
  <c r="M229" i="1" s="1"/>
  <c r="K552" i="1"/>
  <c r="M552" i="1" s="1"/>
  <c r="K227" i="1"/>
  <c r="M227" i="1" s="1"/>
  <c r="K149" i="1"/>
  <c r="M149" i="1" s="1"/>
  <c r="K156" i="1"/>
  <c r="M156" i="1" s="1"/>
  <c r="K205" i="1"/>
  <c r="M205" i="1" s="1"/>
  <c r="K532" i="1"/>
  <c r="M532" i="1" s="1"/>
  <c r="K330" i="1"/>
  <c r="M330" i="1" s="1"/>
  <c r="K162" i="1"/>
  <c r="M162" i="1" s="1"/>
  <c r="K93" i="1"/>
  <c r="M93" i="1" s="1"/>
  <c r="K354" i="1"/>
  <c r="M354" i="1" s="1"/>
  <c r="K619" i="1"/>
  <c r="M619" i="1" s="1"/>
  <c r="K656" i="1"/>
  <c r="M656" i="1" s="1"/>
  <c r="K129" i="1"/>
  <c r="M129" i="1" s="1"/>
  <c r="K657" i="1"/>
  <c r="M657" i="1" s="1"/>
  <c r="K105" i="1"/>
  <c r="M105" i="1" s="1"/>
  <c r="K188" i="1"/>
  <c r="M188" i="1" s="1"/>
  <c r="K457" i="1"/>
  <c r="M457" i="1" s="1"/>
  <c r="K287" i="1"/>
  <c r="M287" i="1" s="1"/>
  <c r="K207" i="1"/>
  <c r="M207" i="1" s="1"/>
  <c r="K347" i="1"/>
  <c r="M347" i="1" s="1"/>
  <c r="K293" i="1"/>
  <c r="M293" i="1" s="1"/>
  <c r="K482" i="1"/>
  <c r="M482" i="1" s="1"/>
  <c r="K109" i="1"/>
  <c r="M109" i="1" s="1"/>
  <c r="K658" i="1"/>
  <c r="M658" i="1" s="1"/>
  <c r="K288" i="1"/>
  <c r="M288" i="1" s="1"/>
  <c r="K59" i="1"/>
  <c r="M59" i="1" s="1"/>
  <c r="K580" i="1"/>
  <c r="M580" i="1" s="1"/>
  <c r="K166" i="1"/>
  <c r="M166" i="1" s="1"/>
  <c r="K133" i="1"/>
  <c r="M133" i="1" s="1"/>
  <c r="K524" i="1"/>
  <c r="M524" i="1" s="1"/>
  <c r="K526" i="1"/>
  <c r="M526" i="1" s="1"/>
  <c r="K101" i="1"/>
  <c r="M101" i="1" s="1"/>
  <c r="K216" i="1"/>
  <c r="M216" i="1" s="1"/>
  <c r="K523" i="1"/>
  <c r="M523" i="1" s="1"/>
  <c r="K686" i="1"/>
  <c r="M686" i="1" s="1"/>
  <c r="K607" i="1"/>
  <c r="M607" i="1" s="1"/>
  <c r="K687" i="1"/>
  <c r="M687" i="1" s="1"/>
  <c r="K623" i="1"/>
  <c r="M623" i="1" s="1"/>
  <c r="K392" i="1"/>
  <c r="M392" i="1" s="1"/>
  <c r="K137" i="1"/>
  <c r="M137" i="1" s="1"/>
  <c r="K403" i="1"/>
  <c r="M403" i="1" s="1"/>
  <c r="K209" i="1"/>
  <c r="M209" i="1" s="1"/>
  <c r="K279" i="1"/>
  <c r="M279" i="1" s="1"/>
  <c r="K659" i="1"/>
  <c r="M659" i="1" s="1"/>
  <c r="K85" i="1"/>
  <c r="M85" i="1" s="1"/>
  <c r="K261" i="1"/>
  <c r="M261" i="1" s="1"/>
  <c r="K660" i="1"/>
  <c r="M660" i="1" s="1"/>
  <c r="K18" i="1"/>
  <c r="M18" i="1" s="1"/>
  <c r="K409" i="1"/>
  <c r="M409" i="1" s="1"/>
  <c r="K94" i="1"/>
  <c r="M94" i="1" s="1"/>
  <c r="K341" i="1"/>
  <c r="M341" i="1" s="1"/>
  <c r="K400" i="1"/>
  <c r="M400" i="1" s="1"/>
  <c r="K75" i="1"/>
  <c r="M75" i="1" s="1"/>
  <c r="K517" i="1"/>
  <c r="M517" i="1" s="1"/>
  <c r="K5" i="1"/>
  <c r="M5" i="1" s="1"/>
  <c r="K223" i="1"/>
  <c r="M223" i="1" s="1"/>
  <c r="K56" i="1"/>
  <c r="M56" i="1" s="1"/>
  <c r="K646" i="1"/>
  <c r="M646" i="1" s="1"/>
  <c r="K667" i="1"/>
  <c r="M667" i="1" s="1"/>
  <c r="K220" i="1"/>
  <c r="M220" i="1" s="1"/>
  <c r="K384" i="1"/>
  <c r="M384" i="1" s="1"/>
  <c r="K154" i="1"/>
  <c r="M154" i="1" s="1"/>
  <c r="K388" i="1"/>
  <c r="M388" i="1" s="1"/>
  <c r="K359" i="1"/>
  <c r="M359" i="1" s="1"/>
  <c r="K122" i="1"/>
  <c r="M122" i="1" s="1"/>
  <c r="K489" i="1"/>
  <c r="M489" i="1" s="1"/>
  <c r="K32" i="1"/>
  <c r="M32" i="1" s="1"/>
  <c r="K357" i="1"/>
  <c r="M357" i="1" s="1"/>
  <c r="K453" i="1"/>
  <c r="M453" i="1" s="1"/>
  <c r="K4" i="1"/>
  <c r="M4" i="1" s="1"/>
  <c r="K470" i="1"/>
  <c r="M470" i="1" s="1"/>
  <c r="K301" i="1"/>
  <c r="M301" i="1" s="1"/>
  <c r="K688" i="1"/>
  <c r="M688" i="1" s="1"/>
  <c r="K327" i="1"/>
  <c r="M327" i="1" s="1"/>
  <c r="K548" i="1"/>
  <c r="M548" i="1" s="1"/>
  <c r="K410" i="1"/>
  <c r="M410" i="1" s="1"/>
  <c r="K503" i="1"/>
  <c r="M503" i="1" s="1"/>
  <c r="K256" i="1"/>
  <c r="M256" i="1" s="1"/>
  <c r="K538" i="1"/>
  <c r="M538" i="1" s="1"/>
  <c r="K551" i="1"/>
  <c r="M551" i="1" s="1"/>
  <c r="K340" i="1"/>
  <c r="M340" i="1" s="1"/>
  <c r="K441" i="1"/>
  <c r="M441" i="1" s="1"/>
  <c r="K160" i="1"/>
  <c r="M160" i="1" s="1"/>
  <c r="K217" i="1"/>
  <c r="M217" i="1" s="1"/>
  <c r="K76" i="1"/>
  <c r="M76" i="1" s="1"/>
  <c r="K336" i="1"/>
  <c r="M336" i="1" s="1"/>
  <c r="K571" i="1"/>
  <c r="M571" i="1" s="1"/>
  <c r="K382" i="1"/>
  <c r="M382" i="1" s="1"/>
  <c r="K257" i="1"/>
  <c r="M257" i="1" s="1"/>
  <c r="K43" i="1"/>
  <c r="M43" i="1" s="1"/>
  <c r="K629" i="1"/>
  <c r="M629" i="1" s="1"/>
  <c r="K17" i="1"/>
  <c r="M17" i="1" s="1"/>
  <c r="K58" i="1"/>
  <c r="M58" i="1" s="1"/>
  <c r="K157" i="1"/>
  <c r="M157" i="1" s="1"/>
  <c r="K678" i="1"/>
  <c r="M678" i="1" s="1"/>
  <c r="K369" i="1"/>
  <c r="M369" i="1" s="1"/>
  <c r="K35" i="1"/>
  <c r="M35" i="1" s="1"/>
  <c r="K262" i="1"/>
  <c r="M262" i="1" s="1"/>
  <c r="K615" i="1"/>
  <c r="M615" i="1" s="1"/>
  <c r="K310" i="1"/>
  <c r="M310" i="1" s="1"/>
  <c r="K553" i="1"/>
  <c r="M553" i="1" s="1"/>
  <c r="K304" i="1"/>
  <c r="M304" i="1" s="1"/>
  <c r="K54" i="1"/>
  <c r="M54" i="1" s="1"/>
  <c r="K434" i="1"/>
  <c r="M434" i="1" s="1"/>
  <c r="K440" i="1"/>
  <c r="M440" i="1" s="1"/>
  <c r="K661" i="1"/>
  <c r="M661" i="1" s="1"/>
  <c r="K182" i="1"/>
  <c r="M182" i="1" s="1"/>
  <c r="K570" i="1"/>
  <c r="M570" i="1" s="1"/>
  <c r="K271" i="1"/>
  <c r="M271" i="1" s="1"/>
  <c r="K300" i="1"/>
  <c r="M300" i="1" s="1"/>
  <c r="K496" i="1"/>
  <c r="M496" i="1" s="1"/>
  <c r="K425" i="1"/>
  <c r="M425" i="1" s="1"/>
  <c r="K598" i="1"/>
  <c r="M598" i="1" s="1"/>
  <c r="K115" i="1"/>
  <c r="M115" i="1" s="1"/>
  <c r="K586" i="1"/>
  <c r="M586" i="1" s="1"/>
  <c r="K519" i="1"/>
  <c r="M519" i="1" s="1"/>
  <c r="K228" i="1"/>
  <c r="M228" i="1" s="1"/>
  <c r="K91" i="1"/>
  <c r="M91" i="1" s="1"/>
  <c r="K69" i="1"/>
  <c r="M69" i="1" s="1"/>
  <c r="K238" i="1"/>
  <c r="M238" i="1" s="1"/>
  <c r="K99" i="1"/>
  <c r="M99" i="1" s="1"/>
  <c r="K47" i="1"/>
  <c r="M47" i="1" s="1"/>
  <c r="K402" i="1"/>
  <c r="M402" i="1" s="1"/>
  <c r="K329" i="1"/>
  <c r="M329" i="1" s="1"/>
  <c r="K554" i="1"/>
  <c r="M554" i="1" s="1"/>
  <c r="K55" i="1"/>
  <c r="M55" i="1" s="1"/>
  <c r="K391" i="1"/>
  <c r="M391" i="1" s="1"/>
  <c r="K213" i="1"/>
  <c r="M213" i="1" s="1"/>
  <c r="K445" i="1"/>
  <c r="M445" i="1" s="1"/>
  <c r="K193" i="1"/>
  <c r="M193" i="1" s="1"/>
  <c r="K245" i="1"/>
  <c r="M245" i="1" s="1"/>
  <c r="K587" i="1"/>
  <c r="M587" i="1" s="1"/>
  <c r="K467" i="1"/>
  <c r="M467" i="1" s="1"/>
  <c r="K343" i="1"/>
  <c r="M343" i="1" s="1"/>
  <c r="K689" i="1"/>
  <c r="M689" i="1" s="1"/>
  <c r="K690" i="1"/>
  <c r="M690" i="1" s="1"/>
  <c r="K285" i="1"/>
  <c r="M285" i="1" s="1"/>
  <c r="K367" i="1"/>
  <c r="M367" i="1" s="1"/>
  <c r="K171" i="1"/>
  <c r="M171" i="1" s="1"/>
  <c r="K674" i="1"/>
  <c r="M674" i="1" s="1"/>
  <c r="K594" i="1"/>
  <c r="M594" i="1" s="1"/>
  <c r="K132" i="1"/>
  <c r="M132" i="1" s="1"/>
  <c r="K177" i="1"/>
  <c r="M177" i="1" s="1"/>
  <c r="K602" i="1"/>
  <c r="M602" i="1" s="1"/>
  <c r="K555" i="1"/>
  <c r="M555" i="1" s="1"/>
  <c r="K534" i="1"/>
  <c r="M534" i="1" s="1"/>
  <c r="K670" i="1"/>
  <c r="M670" i="1" s="1"/>
  <c r="K421" i="1"/>
  <c r="M421" i="1" s="1"/>
  <c r="K435" i="1"/>
  <c r="M435" i="1" s="1"/>
  <c r="K518" i="1"/>
  <c r="M518" i="1" s="1"/>
  <c r="K281" i="1"/>
  <c r="M281" i="1" s="1"/>
  <c r="K263" i="1"/>
  <c r="M263" i="1" s="1"/>
  <c r="K541" i="1"/>
  <c r="M541" i="1" s="1"/>
  <c r="K597" i="1"/>
  <c r="M597" i="1" s="1"/>
  <c r="K666" i="1"/>
  <c r="M666" i="1" s="1"/>
  <c r="K603" i="1"/>
  <c r="M603" i="1" s="1"/>
  <c r="K426" i="1"/>
  <c r="M426" i="1" s="1"/>
  <c r="K479" i="1"/>
  <c r="M479" i="1" s="1"/>
  <c r="K39" i="1"/>
  <c r="M39" i="1" s="1"/>
  <c r="K522" i="1"/>
  <c r="M522" i="1" s="1"/>
  <c r="K591" i="1"/>
  <c r="M591" i="1" s="1"/>
  <c r="K543" i="1"/>
  <c r="M543" i="1" s="1"/>
  <c r="K415" i="1"/>
  <c r="M415" i="1" s="1"/>
  <c r="K60" i="1"/>
  <c r="M60" i="1" s="1"/>
  <c r="K578" i="1"/>
  <c r="M578" i="1" s="1"/>
  <c r="K380" i="1"/>
  <c r="M380" i="1" s="1"/>
  <c r="K38" i="1"/>
  <c r="M38" i="1" s="1"/>
  <c r="K191" i="1"/>
  <c r="M191" i="1" s="1"/>
  <c r="K251" i="1"/>
  <c r="M251" i="1" s="1"/>
  <c r="K36" i="1"/>
  <c r="M36" i="1" s="1"/>
  <c r="K146" i="1"/>
  <c r="M146" i="1" s="1"/>
  <c r="K490" i="1"/>
  <c r="M490" i="1" s="1"/>
  <c r="K501" i="1"/>
  <c r="M501" i="1" s="1"/>
  <c r="K201" i="1"/>
  <c r="M201" i="1" s="1"/>
  <c r="K77" i="1"/>
  <c r="M77" i="1" s="1"/>
  <c r="K277" i="1"/>
  <c r="M277" i="1" s="1"/>
  <c r="K458" i="1"/>
  <c r="M458" i="1" s="1"/>
  <c r="K673" i="1"/>
  <c r="M673" i="1" s="1"/>
  <c r="K25" i="1"/>
  <c r="M25" i="1" s="1"/>
  <c r="K211" i="1"/>
  <c r="M211" i="1" s="1"/>
  <c r="K431" i="1"/>
  <c r="M431" i="1" s="1"/>
  <c r="K639" i="1"/>
  <c r="M639" i="1" s="1"/>
  <c r="K413" i="1"/>
  <c r="M413" i="1" s="1"/>
  <c r="K608" i="1"/>
  <c r="M608" i="1" s="1"/>
  <c r="K306" i="1"/>
  <c r="M306" i="1" s="1"/>
  <c r="K643" i="1"/>
  <c r="M643" i="1" s="1"/>
  <c r="K360" i="1"/>
  <c r="M360" i="1" s="1"/>
  <c r="K305" i="1"/>
  <c r="M305" i="1" s="1"/>
  <c r="K33" i="1"/>
  <c r="M33" i="1" s="1"/>
  <c r="K377" i="1"/>
  <c r="M377" i="1" s="1"/>
  <c r="K549" i="1"/>
  <c r="M549" i="1" s="1"/>
  <c r="K604" i="1"/>
  <c r="M604" i="1" s="1"/>
  <c r="K617" i="1"/>
  <c r="M617" i="1" s="1"/>
  <c r="K104" i="1"/>
  <c r="M104" i="1" s="1"/>
  <c r="K499" i="1"/>
  <c r="M499" i="1" s="1"/>
  <c r="K644" i="1"/>
  <c r="M644" i="1" s="1"/>
  <c r="K127" i="1"/>
  <c r="M127" i="1" s="1"/>
  <c r="K118" i="1"/>
  <c r="M118" i="1" s="1"/>
  <c r="K150" i="1"/>
  <c r="M150" i="1" s="1"/>
  <c r="K634" i="1"/>
  <c r="M634" i="1" s="1"/>
  <c r="K566" i="1"/>
  <c r="M566" i="1" s="1"/>
  <c r="K87" i="1"/>
  <c r="M87" i="1" s="1"/>
  <c r="K611" i="1"/>
  <c r="M611" i="1" s="1"/>
  <c r="K387" i="1"/>
  <c r="M387" i="1" s="1"/>
  <c r="K474" i="1"/>
  <c r="M474" i="1" s="1"/>
  <c r="K27" i="1"/>
  <c r="M27" i="1" s="1"/>
  <c r="K108" i="1"/>
  <c r="M108" i="1" s="1"/>
  <c r="K12" i="1"/>
  <c r="M12" i="1" s="1"/>
  <c r="K184" i="1"/>
  <c r="M184" i="1" s="1"/>
  <c r="K599" i="1"/>
  <c r="M599" i="1" s="1"/>
  <c r="K107" i="1"/>
  <c r="M107" i="1" s="1"/>
  <c r="K325" i="1"/>
  <c r="M325" i="1" s="1"/>
  <c r="K446" i="1"/>
  <c r="M446" i="1" s="1"/>
  <c r="K418" i="1"/>
  <c r="M418" i="1" s="1"/>
  <c r="K691" i="1"/>
  <c r="M691" i="1" s="1"/>
  <c r="K319" i="1"/>
  <c r="M319" i="1" s="1"/>
  <c r="K83" i="1"/>
  <c r="M83" i="1" s="1"/>
  <c r="K40" i="1"/>
  <c r="M40" i="1" s="1"/>
  <c r="K334" i="1"/>
  <c r="M334" i="1" s="1"/>
  <c r="K84" i="1"/>
  <c r="M84" i="1" s="1"/>
  <c r="K530" i="1"/>
  <c r="M530" i="1" s="1"/>
  <c r="K342" i="1"/>
  <c r="M342" i="1" s="1"/>
  <c r="K197" i="1"/>
  <c r="M197" i="1" s="1"/>
  <c r="K272" i="1"/>
  <c r="M272" i="1" s="1"/>
  <c r="K320" i="1"/>
  <c r="M320" i="1" s="1"/>
  <c r="K601" i="1"/>
  <c r="M601" i="1" s="1"/>
  <c r="K67" i="1"/>
  <c r="M67" i="1" s="1"/>
  <c r="K581" i="1"/>
  <c r="M581" i="1" s="1"/>
  <c r="K16" i="1"/>
  <c r="M16" i="1" s="1"/>
  <c r="K9" i="1"/>
  <c r="M9" i="1" s="1"/>
  <c r="K226" i="1"/>
  <c r="M226" i="1" s="1"/>
  <c r="K506" i="1"/>
  <c r="M506" i="1" s="1"/>
  <c r="K561" i="1"/>
  <c r="M561" i="1" s="1"/>
  <c r="K125" i="1"/>
  <c r="M125" i="1" s="1"/>
  <c r="K89" i="1"/>
  <c r="M89" i="1" s="1"/>
  <c r="K355" i="1"/>
  <c r="M355" i="1" s="1"/>
  <c r="K635" i="1"/>
  <c r="M635" i="1" s="1"/>
  <c r="K550" i="1"/>
  <c r="M550" i="1" s="1"/>
  <c r="K390" i="1"/>
  <c r="M390" i="1" s="1"/>
  <c r="K645" i="1"/>
  <c r="M645" i="1" s="1"/>
  <c r="K37" i="1"/>
  <c r="M37" i="1" s="1"/>
  <c r="K289" i="1"/>
  <c r="M289" i="1" s="1"/>
  <c r="K123" i="1"/>
  <c r="M123" i="1" s="1"/>
  <c r="K507" i="1"/>
  <c r="M507" i="1" s="1"/>
  <c r="K556" i="1"/>
  <c r="M556" i="1" s="1"/>
  <c r="K612" i="1"/>
  <c r="M612" i="1" s="1"/>
  <c r="K450" i="1"/>
  <c r="M450" i="1" s="1"/>
  <c r="K633" i="1"/>
  <c r="M633" i="1" s="1"/>
  <c r="K664" i="1"/>
  <c r="M664" i="1" s="1"/>
  <c r="K628" i="1"/>
  <c r="M628" i="1" s="1"/>
  <c r="K546" i="1"/>
  <c r="M546" i="1" s="1"/>
  <c r="K143" i="1"/>
  <c r="M143" i="1" s="1"/>
  <c r="K20" i="1"/>
  <c r="M20" i="1" s="1"/>
  <c r="K70" i="1"/>
  <c r="M70" i="1" s="1"/>
  <c r="K8" i="1"/>
  <c r="M8" i="1" s="1"/>
  <c r="K331" i="1"/>
  <c r="M331" i="1" s="1"/>
  <c r="K422" i="1"/>
  <c r="M422" i="1" s="1"/>
  <c r="K665" i="1"/>
  <c r="M665" i="1" s="1"/>
  <c r="K567" i="1"/>
  <c r="M567" i="1" s="1"/>
  <c r="K10" i="1"/>
  <c r="M10" i="1" s="1"/>
  <c r="K512" i="1"/>
  <c r="M512" i="1" s="1"/>
  <c r="K647" i="1"/>
  <c r="M647" i="1" s="1"/>
  <c r="K609" i="1"/>
  <c r="M609" i="1" s="1"/>
  <c r="K521" i="1"/>
  <c r="M521" i="1" s="1"/>
  <c r="K614" i="1"/>
  <c r="M614" i="1" s="1"/>
  <c r="K595" i="1"/>
  <c r="M595" i="1" s="1"/>
  <c r="K273" i="1"/>
  <c r="M273" i="1" s="1"/>
  <c r="K180" i="1"/>
  <c r="M180" i="1" s="1"/>
  <c r="K404" i="1"/>
  <c r="M404" i="1" s="1"/>
  <c r="K444" i="1"/>
  <c r="M444" i="1" s="1"/>
  <c r="K23" i="1"/>
  <c r="M23" i="1" s="1"/>
  <c r="K53" i="1"/>
  <c r="M53" i="1" s="1"/>
  <c r="K274" i="1"/>
  <c r="M274" i="1" s="1"/>
  <c r="K167" i="1"/>
  <c r="M167" i="1" s="1"/>
  <c r="K624" i="1"/>
  <c r="M624" i="1" s="1"/>
  <c r="K158" i="1"/>
  <c r="M158" i="1" s="1"/>
  <c r="K562" i="1"/>
  <c r="M562" i="1" s="1"/>
  <c r="K443" i="1"/>
  <c r="M443" i="1" s="1"/>
  <c r="K455" i="1"/>
  <c r="M455" i="1" s="1"/>
  <c r="K28" i="1"/>
  <c r="M28" i="1" s="1"/>
  <c r="K430" i="1"/>
  <c r="M430" i="1" s="1"/>
  <c r="K222" i="1"/>
  <c r="M222" i="1" s="1"/>
  <c r="K582" i="1"/>
  <c r="M582" i="1" s="1"/>
  <c r="K368" i="1"/>
  <c r="M368" i="1" s="1"/>
  <c r="K337" i="1"/>
  <c r="M337" i="1" s="1"/>
  <c r="K671" i="1"/>
  <c r="M671" i="1" s="1"/>
  <c r="K620" i="1"/>
  <c r="M620" i="1" s="1"/>
  <c r="K592" i="1"/>
  <c r="M592" i="1" s="1"/>
  <c r="K627" i="1"/>
  <c r="M627" i="1" s="1"/>
  <c r="K61" i="1"/>
  <c r="M61" i="1" s="1"/>
  <c r="K291" i="1"/>
  <c r="M291" i="1" s="1"/>
  <c r="K487" i="1"/>
  <c r="M487" i="1" s="1"/>
  <c r="K88" i="1"/>
  <c r="M88" i="1" s="1"/>
  <c r="K363" i="1"/>
  <c r="M363" i="1" s="1"/>
  <c r="K144" i="1"/>
  <c r="M144" i="1" s="1"/>
  <c r="K358" i="1"/>
  <c r="M358" i="1" s="1"/>
  <c r="K394" i="1"/>
  <c r="M394" i="1" s="1"/>
  <c r="K515" i="1"/>
  <c r="M515" i="1" s="1"/>
  <c r="K264" i="1"/>
  <c r="M264" i="1" s="1"/>
  <c r="K545" i="1"/>
  <c r="M545" i="1" s="1"/>
  <c r="K636" i="1"/>
  <c r="M636" i="1" s="1"/>
  <c r="K459" i="1"/>
  <c r="M459" i="1" s="1"/>
  <c r="K405" i="1"/>
  <c r="M405" i="1" s="1"/>
  <c r="K477" i="1"/>
  <c r="M477" i="1" s="1"/>
  <c r="K473" i="1"/>
  <c r="M473" i="1" s="1"/>
  <c r="K398" i="1"/>
  <c r="M398" i="1" s="1"/>
  <c r="K313" i="1"/>
  <c r="M313" i="1" s="1"/>
  <c r="K244" i="1"/>
  <c r="M244" i="1" s="1"/>
  <c r="K172" i="1"/>
  <c r="M172" i="1" s="1"/>
  <c r="K114" i="1"/>
  <c r="M114" i="1" s="1"/>
  <c r="K692" i="1"/>
  <c r="M692" i="1" s="1"/>
  <c r="K110" i="1"/>
  <c r="M110" i="1" s="1"/>
  <c r="K219" i="1"/>
  <c r="M219" i="1" s="1"/>
  <c r="K547" i="1"/>
  <c r="M547" i="1" s="1"/>
  <c r="K117" i="1"/>
  <c r="M117" i="1" s="1"/>
  <c r="K282" i="1"/>
  <c r="M282" i="1" s="1"/>
  <c r="K321" i="1"/>
  <c r="M321" i="1" s="1"/>
  <c r="K31" i="1"/>
  <c r="M31" i="1" s="1"/>
  <c r="K621" i="1"/>
  <c r="M621" i="1" s="1"/>
  <c r="K429" i="1"/>
  <c r="M429" i="1" s="1"/>
  <c r="K544" i="1"/>
  <c r="M544" i="1" s="1"/>
  <c r="K350" i="1"/>
  <c r="M350" i="1" s="1"/>
  <c r="K196" i="1"/>
  <c r="M196" i="1" s="1"/>
  <c r="K662" i="1"/>
  <c r="M662" i="1" s="1"/>
  <c r="K14" i="1"/>
  <c r="M14" i="1" s="1"/>
  <c r="K412" i="1"/>
  <c r="M412" i="1" s="1"/>
  <c r="K210" i="1"/>
  <c r="M210" i="1" s="1"/>
  <c r="K2" i="1"/>
  <c r="M2" i="1" s="1"/>
  <c r="K436" i="1"/>
  <c r="M436" i="1" s="1"/>
  <c r="K290" i="1"/>
  <c r="M290" i="1" s="1"/>
  <c r="K275" i="1"/>
  <c r="M275" i="1" s="1"/>
  <c r="K472" i="1"/>
  <c r="M472" i="1" s="1"/>
  <c r="K679" i="1"/>
  <c r="M679" i="1" s="1"/>
  <c r="K231" i="1"/>
  <c r="M231" i="1" s="1"/>
  <c r="K420" i="1"/>
  <c r="M420" i="1" s="1"/>
  <c r="K423" i="1"/>
  <c r="M423" i="1" s="1"/>
  <c r="K461" i="1"/>
  <c r="M461" i="1" s="1"/>
  <c r="K179" i="1"/>
  <c r="M179" i="1" s="1"/>
  <c r="K163" i="1"/>
  <c r="M163" i="1" s="1"/>
  <c r="K680" i="1"/>
  <c r="M680" i="1" s="1"/>
  <c r="K195" i="1"/>
  <c r="M195" i="1" s="1"/>
  <c r="K478" i="1"/>
  <c r="M478" i="1" s="1"/>
  <c r="K249" i="1"/>
  <c r="M249" i="1" s="1"/>
  <c r="K625" i="1"/>
  <c r="M625" i="1" s="1"/>
  <c r="K641" i="1"/>
  <c r="M641" i="1" s="1"/>
  <c r="K21" i="1"/>
  <c r="M21" i="1" s="1"/>
  <c r="K141" i="1"/>
  <c r="M141" i="1" s="1"/>
  <c r="K130" i="1"/>
  <c r="M130" i="1" s="1"/>
  <c r="K212" i="1"/>
  <c r="M212" i="1" s="1"/>
  <c r="K221" i="1"/>
  <c r="M221" i="1" s="1"/>
  <c r="K276" i="1"/>
  <c r="M276" i="1" s="1"/>
  <c r="K589" i="1"/>
  <c r="M589" i="1" s="1"/>
  <c r="K466" i="1"/>
  <c r="M466" i="1" s="1"/>
  <c r="K642" i="1"/>
  <c r="M642" i="1" s="1"/>
  <c r="K539" i="1"/>
  <c r="M539" i="1" s="1"/>
  <c r="K246" i="1"/>
  <c r="M246" i="1" s="1"/>
  <c r="K638" i="1"/>
  <c r="M638" i="1" s="1"/>
  <c r="K495" i="1"/>
  <c r="M495" i="1" s="1"/>
  <c r="K393" i="1"/>
  <c r="M393" i="1" s="1"/>
  <c r="K138" i="1"/>
  <c r="M138" i="1" s="1"/>
  <c r="K683" i="1"/>
  <c r="M683" i="1" s="1"/>
  <c r="K684" i="1"/>
  <c r="M684" i="1" s="1"/>
  <c r="K153" i="1"/>
  <c r="M153" i="1" s="1"/>
  <c r="K265" i="1"/>
  <c r="M265" i="1" s="1"/>
  <c r="K240" i="1"/>
  <c r="M240" i="1" s="1"/>
  <c r="K383" i="1"/>
  <c r="M383" i="1" s="1"/>
  <c r="K408" i="1"/>
  <c r="M408" i="1" s="1"/>
  <c r="K283" i="1"/>
  <c r="M283" i="1" s="1"/>
  <c r="K333" i="1"/>
  <c r="M333" i="1" s="1"/>
  <c r="K529" i="1"/>
  <c r="M529" i="1" s="1"/>
  <c r="K81" i="1"/>
  <c r="M81" i="1" s="1"/>
  <c r="K232" i="1"/>
  <c r="M232" i="1" s="1"/>
  <c r="K681" i="1"/>
  <c r="M681" i="1" s="1"/>
  <c r="K134" i="1"/>
  <c r="M134" i="1" s="1"/>
  <c r="K531" i="1"/>
  <c r="M531" i="1" s="1"/>
  <c r="K464" i="1"/>
  <c r="M464" i="1" s="1"/>
  <c r="K312" i="1"/>
  <c r="M312" i="1" s="1"/>
  <c r="K49" i="1"/>
  <c r="M49" i="1" s="1"/>
  <c r="K48" i="1"/>
  <c r="M48" i="1" s="1"/>
  <c r="K605" i="1"/>
  <c r="M605" i="1" s="1"/>
  <c r="K121" i="1"/>
  <c r="M121" i="1" s="1"/>
  <c r="K396" i="1"/>
  <c r="M396" i="1" s="1"/>
  <c r="K34" i="1"/>
  <c r="M34" i="1" s="1"/>
  <c r="K111" i="1"/>
  <c r="M111" i="1" s="1"/>
  <c r="K266" i="1"/>
  <c r="M266" i="1" s="1"/>
  <c r="K484" i="1"/>
  <c r="M484" i="1" s="1"/>
  <c r="K185" i="1"/>
  <c r="M185" i="1" s="1"/>
  <c r="K204" i="1"/>
  <c r="M204" i="1" s="1"/>
  <c r="K339" i="1"/>
  <c r="M339" i="1" s="1"/>
  <c r="K41" i="1"/>
  <c r="M41" i="1" s="1"/>
  <c r="K148" i="1"/>
  <c r="M148" i="1" s="1"/>
  <c r="K78" i="1"/>
  <c r="M78" i="1" s="1"/>
  <c r="K583" i="1"/>
  <c r="M583" i="1" s="1"/>
  <c r="K151" i="1"/>
  <c r="M151" i="1" s="1"/>
  <c r="K352" i="1"/>
  <c r="M352" i="1" s="1"/>
  <c r="K176" i="1"/>
  <c r="M176" i="1" s="1"/>
  <c r="K103" i="1"/>
  <c r="M103" i="1" s="1"/>
  <c r="K317" i="1"/>
  <c r="M317" i="1" s="1"/>
  <c r="K626" i="1"/>
  <c r="M626" i="1" s="1"/>
  <c r="K174" i="1"/>
  <c r="M174" i="1" s="1"/>
  <c r="K178" i="1"/>
  <c r="M178" i="1" s="1"/>
  <c r="K311" i="1"/>
  <c r="M311" i="1" s="1"/>
  <c r="K630" i="1"/>
  <c r="M630" i="1" s="1"/>
  <c r="K381" i="1"/>
  <c r="M381" i="1" s="1"/>
  <c r="K663" i="1"/>
  <c r="M663" i="1" s="1"/>
  <c r="K407" i="1"/>
  <c r="M407" i="1" s="1"/>
  <c r="K565" i="1"/>
  <c r="M565" i="1" s="1"/>
  <c r="K22" i="1"/>
  <c r="M22" i="1" s="1"/>
  <c r="K82" i="1"/>
  <c r="M82" i="1" s="1"/>
  <c r="K3" i="1"/>
  <c r="M3" i="1" s="1"/>
  <c r="K650" i="1"/>
  <c r="M650" i="1" s="1"/>
</calcChain>
</file>

<file path=xl/sharedStrings.xml><?xml version="1.0" encoding="utf-8"?>
<sst xmlns="http://schemas.openxmlformats.org/spreadsheetml/2006/main" count="4165" uniqueCount="1061">
  <si>
    <t>Employee Name (ID)</t>
  </si>
  <si>
    <t>Location</t>
  </si>
  <si>
    <t>Job</t>
  </si>
  <si>
    <t>Pay Code</t>
  </si>
  <si>
    <t>Employee Status</t>
  </si>
  <si>
    <t>Status Date</t>
  </si>
  <si>
    <t>Primary Job</t>
  </si>
  <si>
    <t>Money</t>
  </si>
  <si>
    <t>Hours</t>
  </si>
  <si>
    <t>Days</t>
  </si>
  <si>
    <t>Aguero, Alfredo (118474)</t>
  </si>
  <si>
    <t>AMCASTLE/Banner Pump and Materials Inc./BPM Lubbock/Banner - Plant Processing</t>
  </si>
  <si>
    <t>Machine Operator II</t>
  </si>
  <si>
    <t>Regular</t>
  </si>
  <si>
    <t>Active</t>
  </si>
  <si>
    <t>Aguilar, Risa A (073658)</t>
  </si>
  <si>
    <t>AMCASTLE/A. M. Castle and Co./Stockton/Sales - Inside</t>
  </si>
  <si>
    <t>Inside Sales Rep</t>
  </si>
  <si>
    <t>Aguilera, Francisco (001302)</t>
  </si>
  <si>
    <t>AMCASTLE/A. M. Castle and Co./H-A Industries/Plant - Processing</t>
  </si>
  <si>
    <t>Operator A</t>
  </si>
  <si>
    <t>Alatorre, Victor (118033)</t>
  </si>
  <si>
    <t>AMCASTLE/National KwikMetal Service, LLC/NKS Des Plaines/NKS - Plant Processing</t>
  </si>
  <si>
    <t>Production Lead</t>
  </si>
  <si>
    <t>Alatorre, Victor (118332)</t>
  </si>
  <si>
    <t>AMCASTLE/National KwikMetal Service, LLC/NKS Des Plaines/NKS - Plant Management</t>
  </si>
  <si>
    <t>Assistant Operations Manager</t>
  </si>
  <si>
    <t>Alex, Jason M (116975)</t>
  </si>
  <si>
    <t>AMCASTLE/A. M. Castle and Co./Janesville/Plant - Processing Mgmt</t>
  </si>
  <si>
    <t>Branch Quality Specialist</t>
  </si>
  <si>
    <t>Alvarez, German (118494)</t>
  </si>
  <si>
    <t>Machine Operator</t>
  </si>
  <si>
    <t>Alvarez, Humberto (117762)</t>
  </si>
  <si>
    <t>AMCASTLE/A. M. Castle and Co./Los Angeles/Plant - Processing</t>
  </si>
  <si>
    <t>Anderson, Evelyn (117084)</t>
  </si>
  <si>
    <t>AMCASTLE/A. M. Castle and Co./Los Angeles/Sales - Inside</t>
  </si>
  <si>
    <t>Sr Inside Sales Rep</t>
  </si>
  <si>
    <t>Anderson, Jamin D (117532)</t>
  </si>
  <si>
    <t>AMCASTLE/A. M. Castle and Co./Wichita/Sales - Inside</t>
  </si>
  <si>
    <t>Anguzza, Tonya A (011679)</t>
  </si>
  <si>
    <t>AMCASTLE/A. M. Castle and Co./Charlotte/Operations Support</t>
  </si>
  <si>
    <t>Operations Coordinator</t>
  </si>
  <si>
    <t>Aranda, Guadalupe (118259)</t>
  </si>
  <si>
    <t>AMCASTLE/Banner Medical Innovations Inc./BMI Carol Stream/Banner - Warehouse</t>
  </si>
  <si>
    <t>Warehouse Operator</t>
  </si>
  <si>
    <t>Ariola, Anthony J (118493)</t>
  </si>
  <si>
    <t>AMCASTLE/Banner Service Corporation/BSC Carol Stream/Banner - Plant Management</t>
  </si>
  <si>
    <t>Warehouse Supervisor</t>
  </si>
  <si>
    <t>Ariola, Joseph (118183)</t>
  </si>
  <si>
    <t>Regional Operations Mgr</t>
  </si>
  <si>
    <t>Ariola, Joseph D (118145)</t>
  </si>
  <si>
    <t>AMCASTLE/Banner Medical Innovations Inc./BMI Carol Stream/Banner - Plant Management</t>
  </si>
  <si>
    <t>Safety Manager</t>
  </si>
  <si>
    <t>Arnett, Elizabeth M (118211)</t>
  </si>
  <si>
    <t>AMCASTLE/Banner Medical Innovations Inc./BMI Warsaw/Banner - Operations Suppo</t>
  </si>
  <si>
    <t>Arriaga Ramos, J Jose (011548)</t>
  </si>
  <si>
    <t>AMCASTLE/A. M. Castle and Co./H-A Industries/Plant - Management</t>
  </si>
  <si>
    <t>Operations Supervisor</t>
  </si>
  <si>
    <t>Arrington, Elena (118110)</t>
  </si>
  <si>
    <t>AMCASTLE/Banner Service Corporation/BSC Carol Stream/Banner - Finance</t>
  </si>
  <si>
    <t>Corporate Credit Manager</t>
  </si>
  <si>
    <t>Atsaves-Stafford, Evagelia (118214)</t>
  </si>
  <si>
    <t>AMCASTLE/Banner Service Corporation/Windsor/Banner - Operations Suppo</t>
  </si>
  <si>
    <t>Sr Transportation Coordinator</t>
  </si>
  <si>
    <t>Auer, Denise L (118047)</t>
  </si>
  <si>
    <t>AMCASTLE/Dragonfish Inc/Edge/Banner - Plant Management</t>
  </si>
  <si>
    <t>Badiane, Salif (116764)</t>
  </si>
  <si>
    <t>AMCASTLE/A. M. Castle and Co. Canada/Toronto/Plant - Processing</t>
  </si>
  <si>
    <t>Trepanner II - CAN</t>
  </si>
  <si>
    <t>Baez, Luis (118176)</t>
  </si>
  <si>
    <t>AMCASTLE/Banner Service Corporation/BSC Carol Stream/Banner - Plant Processing</t>
  </si>
  <si>
    <t>Bailey, Ian L (011566)</t>
  </si>
  <si>
    <t>AMCASTLE/A. M. Castle and Co./Charlotte/Sales - Inside</t>
  </si>
  <si>
    <t>Balaguru, Vinoth Kannan (116784)</t>
  </si>
  <si>
    <t>AMCASTLE/A. M. Castle and Co./Corp Shared Services/Admin - IT</t>
  </si>
  <si>
    <t>Software Development Lead</t>
  </si>
  <si>
    <t>Banick, Stephen E (118538)</t>
  </si>
  <si>
    <t>Barajas, Luis S (118032)</t>
  </si>
  <si>
    <t>AMCASTLE/Devil Ray Inc/Supra/Banner - Plant Processing</t>
  </si>
  <si>
    <t>Inspector</t>
  </si>
  <si>
    <t>Barnes, Mark A (118449)</t>
  </si>
  <si>
    <t>AMCASTLE/Devil Ray Inc/Supra/Banner - Outside Sales</t>
  </si>
  <si>
    <t>Regional Sales Manager I</t>
  </si>
  <si>
    <t>Bater, Joel P (117708)</t>
  </si>
  <si>
    <t>AMCASTLE/A. M. Castle and Co. Canada/Winnipeg/Sales - Outside</t>
  </si>
  <si>
    <t>Regional Sales Manager I - CAN</t>
  </si>
  <si>
    <t>Bates, Joanna L (011544)</t>
  </si>
  <si>
    <t>Dir. Customer Experience</t>
  </si>
  <si>
    <t>Bauer, Carl W (011897)</t>
  </si>
  <si>
    <t>AMCASTLE/A. M. Castle and Co./Dallas/Sales - Outside</t>
  </si>
  <si>
    <t>Regional Sales Manager III</t>
  </si>
  <si>
    <t>Berry, Charles D (118127)</t>
  </si>
  <si>
    <t>AMCASTLE/Devil Ray Inc/Supra/Banner - Inside Sales</t>
  </si>
  <si>
    <t>Bielecki, Sheila (118591)</t>
  </si>
  <si>
    <t>AMCASTLE/A. M. Castle and Co./Corp Shared Services/Admin - Finance</t>
  </si>
  <si>
    <t>Sr AP Assistant</t>
  </si>
  <si>
    <t>Bier, Jay A (117824)</t>
  </si>
  <si>
    <t>AMCASTLE/A. M. Castle and Co./Janesville/Plant - Processing</t>
  </si>
  <si>
    <t>Bish, Kenneth W (117279)</t>
  </si>
  <si>
    <t>AMCASTLE/A. M. Castle and Co./Cleveland/Operations Support</t>
  </si>
  <si>
    <t>CAD Programmer</t>
  </si>
  <si>
    <t>Bjork, Anne E (080367)</t>
  </si>
  <si>
    <t>AMCASTLE/A. M. Castle and Co./Janesville/Sales - Inside</t>
  </si>
  <si>
    <t>Blaedow, Jeremy E (117169)</t>
  </si>
  <si>
    <t>Bloch, Ann R (045276)</t>
  </si>
  <si>
    <t>AMCASTLE/A. M. Castle and Co./Philadelphia/Transportation</t>
  </si>
  <si>
    <t>Transportation Coordinator</t>
  </si>
  <si>
    <t>Bond, Gregory C (117549)</t>
  </si>
  <si>
    <t>AMCASTLE/A. M. Castle and Co./Cleveland/Plant - Processing Mgmt</t>
  </si>
  <si>
    <t>Bonilla, Antonio (117919)</t>
  </si>
  <si>
    <t>AMCASTLE/Banner Service Corporation/BSC Carol Stream/Banner - Trucking</t>
  </si>
  <si>
    <t>Truck Driver</t>
  </si>
  <si>
    <t>Bowe, Jaimie L (117869)</t>
  </si>
  <si>
    <t>AMCASTLE/A. M. Castle and Co./Philadelphia/Sales - Outside</t>
  </si>
  <si>
    <t>Boynar, Bradley J (118244)</t>
  </si>
  <si>
    <t>AMCASTLE/Banner Service Corporation/Strongsville/Banner - Operations Suppo</t>
  </si>
  <si>
    <t>Brashers, Steven (117852)</t>
  </si>
  <si>
    <t>Bratthauar, Thomas (118580)</t>
  </si>
  <si>
    <t>AMCASTLE/A. M. Castle and Co./Corp Shared Services/Admin - Supply Chain</t>
  </si>
  <si>
    <t>Intern</t>
  </si>
  <si>
    <t>Breitmos, Christian L (116912)</t>
  </si>
  <si>
    <t>AMCASTLE/A. M. Castle and Co./Cleveland/Plant - Processing</t>
  </si>
  <si>
    <t>Broce, Brandon (117876)</t>
  </si>
  <si>
    <t>Brown, Alfie M (115942)</t>
  </si>
  <si>
    <t>AMCASTLE/A. M. Castle and Co./Dallas/Operations Support</t>
  </si>
  <si>
    <t>Operations Assistant II</t>
  </si>
  <si>
    <t>Brown, Doug (012097)</t>
  </si>
  <si>
    <t>AMCASTLE/A. M. Castle and Co. Canada/Toronto/Admin - District Mgmt</t>
  </si>
  <si>
    <t>Managing Director - CAN</t>
  </si>
  <si>
    <t>Brown, Kristin A (117984)</t>
  </si>
  <si>
    <t>AMCASTLE/Banner Service Corporation/Windsor/Banner - Quality</t>
  </si>
  <si>
    <t>Brown, Oasha M (118550)</t>
  </si>
  <si>
    <t>Administrative Assistant II</t>
  </si>
  <si>
    <t>Brown, Robert J (005229)</t>
  </si>
  <si>
    <t>Brown, Tanesha (117584)</t>
  </si>
  <si>
    <t>AMCASTLE/A. M. Castle and Co./Cleveland/Transportation</t>
  </si>
  <si>
    <t>Bruder, Steven J (118285)</t>
  </si>
  <si>
    <t>AMCASTLE/Banner Medical Innovations Inc./BMI Warsaw/Banner - Inside Sales</t>
  </si>
  <si>
    <t>Bryant, Michael A (011198)</t>
  </si>
  <si>
    <t>AMCASTLE/A. M. Castle and Co./Charlotte/Plant - Processing Mgmt</t>
  </si>
  <si>
    <t>Brzoska, Ronald A (005544)</t>
  </si>
  <si>
    <t>Bucio, Rafael (001619)</t>
  </si>
  <si>
    <t>Burnett, Donald (117814)</t>
  </si>
  <si>
    <t>Burns, Wayne (005694)</t>
  </si>
  <si>
    <t>Burton, Chrystal R (117648)</t>
  </si>
  <si>
    <t>AMCASTLE/A. M. Castle and Co./Janesville/Operations Support</t>
  </si>
  <si>
    <t>Operations Assistant</t>
  </si>
  <si>
    <t>Bush, Tyler N (118581)</t>
  </si>
  <si>
    <t>AMCASTLE/A. M. Castle and Co./Corp Shared Services/Operations - Corporate</t>
  </si>
  <si>
    <t>Butler, Bruce A (118012)</t>
  </si>
  <si>
    <t>AMCASTLE/Banner Medical Innovations Inc./BMI Warsaw/Banner - Warehouse</t>
  </si>
  <si>
    <t>Butler, Jason K (118386)</t>
  </si>
  <si>
    <t>AMCASTLE/Banner Pump and Materials Inc./BPM Lubbock/Banner - Plant Management</t>
  </si>
  <si>
    <t>Operations Manager I</t>
  </si>
  <si>
    <t>Butler, Steven (116224)</t>
  </si>
  <si>
    <t>Cabezas, Sofia A (118136)</t>
  </si>
  <si>
    <t>AMCASTLE/Banner Medical Innovations Inc./BMI Carol Stream/Banner - Purchasing</t>
  </si>
  <si>
    <t>Buyer</t>
  </si>
  <si>
    <t>Cadena, Fernando G (117745)</t>
  </si>
  <si>
    <t>AMCASTLE/A. M. Castle and Co./Los Angeles/Plant - Management</t>
  </si>
  <si>
    <t>Calderon, Susan A (050096)</t>
  </si>
  <si>
    <t>AMCASTLE/A. M. Castle and Co./Philadelphia/Operations Support</t>
  </si>
  <si>
    <t>Administrative Supervisor</t>
  </si>
  <si>
    <t>Campbell, Raul J (116949)</t>
  </si>
  <si>
    <t>Operator B</t>
  </si>
  <si>
    <t>Caponi, Angelo R (118203)</t>
  </si>
  <si>
    <t>AMCASTLE/Banner Service Corporation/Strongsville/Banner - Outside Sales</t>
  </si>
  <si>
    <t>Capoy, Benedict L (117304)</t>
  </si>
  <si>
    <t>AMCASTLE/A. M. Castle and Co./Stockton/Plant - Processing</t>
  </si>
  <si>
    <t>Machine Operator III</t>
  </si>
  <si>
    <t>Caro, Elsa A (117620)</t>
  </si>
  <si>
    <t>Regional Quality Manager</t>
  </si>
  <si>
    <t>Carpenter, Adam (012356)</t>
  </si>
  <si>
    <t>Carroll, Todd P (006388)</t>
  </si>
  <si>
    <t>Carter-Colon, Bianca (118555)</t>
  </si>
  <si>
    <t>AMCASTLE/National KwikMetal Service, LLC/NKS Tennessee/NKS - Operations Support</t>
  </si>
  <si>
    <t>Administrative Assistant I</t>
  </si>
  <si>
    <t>Cartier, Deowattie B (012265)</t>
  </si>
  <si>
    <t>AMCASTLE/A. M. Castle and Co. Canada/Toronto/Transportation</t>
  </si>
  <si>
    <t>Operations Assistant II - CAN</t>
  </si>
  <si>
    <t>Cartwright, Brandon P (117383)</t>
  </si>
  <si>
    <t>Caruso, Jan L (025516)</t>
  </si>
  <si>
    <t>AMCASTLE/A. M. Castle and Co./HQ - Industrial/Sales - Strat Act-BD-Supp</t>
  </si>
  <si>
    <t>Technical Services Manager</t>
  </si>
  <si>
    <t>Carvelli, Kevin C (117469)</t>
  </si>
  <si>
    <t>Castillo Sr., Manuel (118532)</t>
  </si>
  <si>
    <t>AMCASTLE/Banner Medical Innovations Inc./BMI Carol Stream/Banner - Plant Processing</t>
  </si>
  <si>
    <t>Castillo, Jose (118429)</t>
  </si>
  <si>
    <t>Castillo, Justin J (118456)</t>
  </si>
  <si>
    <t>AMCASTLE/National KwikMetal Service, LLC/NKS Tennessee/NKS - Plant Processing</t>
  </si>
  <si>
    <t>Castillo, Rigoberto (118179)</t>
  </si>
  <si>
    <t>Asst Machine Operator</t>
  </si>
  <si>
    <t>Castro, Alma D (117706)</t>
  </si>
  <si>
    <t>AMCASTLE/A. M. Castle and Co./H-A Industries/Operations Support</t>
  </si>
  <si>
    <t>Castro, Martin (117998)</t>
  </si>
  <si>
    <t>Catalano, Francesco (118547)</t>
  </si>
  <si>
    <t>AMCASTLE/A. M. Castle and Co./Janesville/Plant - Non-Processing</t>
  </si>
  <si>
    <t>Cates, Gerald (117846)</t>
  </si>
  <si>
    <t>Cavazos, Jesus (117670)</t>
  </si>
  <si>
    <t>Network Administrator II</t>
  </si>
  <si>
    <t>Cavenee, Eric S (117149)</t>
  </si>
  <si>
    <t>AMCASTLE/A. M. Castle and Co./HQ - Aerospace/Sales - Strat Act-BD-Supp</t>
  </si>
  <si>
    <t>Strategic Account Manager</t>
  </si>
  <si>
    <t>Cazarez, Hector T (117715)</t>
  </si>
  <si>
    <t>Ceja, Salvador (117956)</t>
  </si>
  <si>
    <t>AMCASTLE/National KwikMetal Service, LLC/NKS Des Plaines/NKS - Warehouse</t>
  </si>
  <si>
    <t>Cesario, George (117602)</t>
  </si>
  <si>
    <t>Information Security Manager</t>
  </si>
  <si>
    <t>Chajdecki, Maciej G (118267)</t>
  </si>
  <si>
    <t>AMCASTLE/Banner Service Corporation/Windsor/Banner - Warehouse</t>
  </si>
  <si>
    <t>Chalmers, Justin (118355)</t>
  </si>
  <si>
    <t>AMCASTLE/Dragonfish Inc/Edge/Banner - Warehouse</t>
  </si>
  <si>
    <t>Chandler, Danny C (006848)</t>
  </si>
  <si>
    <t>AMCASTLE/A. M. Castle and Co./Dallas/Plant - Processing</t>
  </si>
  <si>
    <t>Chavez, Maribel (001979)</t>
  </si>
  <si>
    <t>AMCASTLE/A. M. Castle and Co./Los Angeles/Operations Support</t>
  </si>
  <si>
    <t>Buyer - Branch</t>
  </si>
  <si>
    <t>Chevalier, Robert C (118091)</t>
  </si>
  <si>
    <t>AMCASTLE/Banner Service Corporation/BSC Carol Stream/Banner - Inside Sales</t>
  </si>
  <si>
    <t>Chin Samte, Paul Nang N (117949)</t>
  </si>
  <si>
    <t>AMCASTLE/Banner Service Corporation/BSC Carol Stream/Banner - Warehouse</t>
  </si>
  <si>
    <t>Shipping Receiving Clerk</t>
  </si>
  <si>
    <t>Chinnaswamy, Amy C (117390)</t>
  </si>
  <si>
    <t>Sr Manager Corp Transportation</t>
  </si>
  <si>
    <t>Chrestman, Jayton R (115939)</t>
  </si>
  <si>
    <t>VP, IT and Process Improvement</t>
  </si>
  <si>
    <t>Cisneros, Jose (118303)</t>
  </si>
  <si>
    <t>Clark, Jennifer M (117058)</t>
  </si>
  <si>
    <t>AMCASTLE/A. M. Castle and Co./Wichita/Operations Support</t>
  </si>
  <si>
    <t>Clayton, Eddie L (011842)</t>
  </si>
  <si>
    <t>Cochrane, Robert V (007471)</t>
  </si>
  <si>
    <t>Cole, Jason L (118088)</t>
  </si>
  <si>
    <t>AMCASTLE/National KwikMetal Service, LLC/NKS Des Plaines/NKS - Outside Sales</t>
  </si>
  <si>
    <t>Coleman, Carrie D (118576)</t>
  </si>
  <si>
    <t>Collier, Chad M (118044)</t>
  </si>
  <si>
    <t>AMCASTLE/Banner Medical Innovations Inc./BMI Warsaw/Banner - Maintenance</t>
  </si>
  <si>
    <t>Maintenance</t>
  </si>
  <si>
    <t>Collins, Ryan E (116103)</t>
  </si>
  <si>
    <t>Demand Planning &amp; Analytics Manager</t>
  </si>
  <si>
    <t>Collins, Teena M (116934)</t>
  </si>
  <si>
    <t>AMCASTLE/A. M. Castle and Co./Kennesaw/Sales - Inside</t>
  </si>
  <si>
    <t>Colozza, Vincent J (007695)</t>
  </si>
  <si>
    <t>AMCASTLE/A. M. Castle and Co./Philadelphia/Plant - Processing</t>
  </si>
  <si>
    <t>Conceicao, Paulo (117571)</t>
  </si>
  <si>
    <t>Machine Operator II - CAN</t>
  </si>
  <si>
    <t>Connors, Casey L (118141)</t>
  </si>
  <si>
    <t>Connors, Ian P (117455)</t>
  </si>
  <si>
    <t>AMCASTLE/A. M. Castle and Co./Philadelphia/Sales - Inside</t>
  </si>
  <si>
    <t>Corpuz, Julimar Cris (117459)</t>
  </si>
  <si>
    <t>AMCASTLE/A. M. Castle and Co./Stockton/Operations Support</t>
  </si>
  <si>
    <t>Branch Quality Coordinator</t>
  </si>
  <si>
    <t>Corpuz, Kevin (116512)</t>
  </si>
  <si>
    <t>Corral, Guadalupe (117953)</t>
  </si>
  <si>
    <t>Corrigan, Timothy (118551)</t>
  </si>
  <si>
    <t>AMCASTLE/A. M. Castle and Co./Corp Shared Services/Admin - Human Resources</t>
  </si>
  <si>
    <t>Recruiter</t>
  </si>
  <si>
    <t>Cosio, Gusthre G (011128)</t>
  </si>
  <si>
    <t>AMCASTLE/A. M. Castle and Co./Stockton/Plant - Processing Mgmt</t>
  </si>
  <si>
    <t>Operations Manager II</t>
  </si>
  <si>
    <t>Costello, William T (118293)</t>
  </si>
  <si>
    <t>AMCASTLE/National KwikMetal Service, LLC/NKS Des Plaines/NKS - Inside Sales</t>
  </si>
  <si>
    <t>Cotton, Rhonda (118204)</t>
  </si>
  <si>
    <t>AMCASTLE/Banner Medical Innovations Inc./BMI Carol Stream/Banner - Inside Sales</t>
  </si>
  <si>
    <t>Sales Assistant</t>
  </si>
  <si>
    <t>Coulter, David J (116956)</t>
  </si>
  <si>
    <t>Cox, Christopher A (116965)</t>
  </si>
  <si>
    <t>Cox, Kathleen T (118515)</t>
  </si>
  <si>
    <t>AMCASTLE/National KwikMetal Service, LLC/NKS Des Plaines/NKS - Quality</t>
  </si>
  <si>
    <t>Craddock, Steven (118279)</t>
  </si>
  <si>
    <t>Craveiro, Richard (116853)</t>
  </si>
  <si>
    <t>AMCASTLE/A. M. Castle and Co. Canada/Toronto/Plant - Processing Mgmt</t>
  </si>
  <si>
    <t>Warehouse Supervisor - CAN</t>
  </si>
  <si>
    <t>Creel, Dillon J (117485)</t>
  </si>
  <si>
    <t>AMCASTLE/A. M. Castle and Co./Wichita/Transportation</t>
  </si>
  <si>
    <t>Crerar, Christine E (001704)</t>
  </si>
  <si>
    <t>Crocker, Laura M (117362)</t>
  </si>
  <si>
    <t>Crosby, Amanda J (001978)</t>
  </si>
  <si>
    <t>Sr Buyer</t>
  </si>
  <si>
    <t>Cruz, Alfredo (118309)</t>
  </si>
  <si>
    <t>Cruz, Luis A (001940)</t>
  </si>
  <si>
    <t>Cruz, Mariano A (117299)</t>
  </si>
  <si>
    <t>Cuevas, Rolando M (116311)</t>
  </si>
  <si>
    <t>Cuevas, Rosendo (117337)</t>
  </si>
  <si>
    <t>Cupp, Melissa M (117926)</t>
  </si>
  <si>
    <t>Curphey, Matthew (117741)</t>
  </si>
  <si>
    <t>Global Operations &amp; Business Improvement Manager</t>
  </si>
  <si>
    <t>Currie, Donzell (118560)</t>
  </si>
  <si>
    <t>D365 Lead Operations</t>
  </si>
  <si>
    <t>Cygan, Shaylyn K (001894)</t>
  </si>
  <si>
    <t>Czernek, James C (118054)</t>
  </si>
  <si>
    <t>AMCASTLE/Banner Service Corporation/BSC Carol Stream/Banner - Operations Suppo</t>
  </si>
  <si>
    <t>Dailey, Kevin T (118071)</t>
  </si>
  <si>
    <t>AMCASTLE/Banner Medical Innovations Inc./BMI Warsaw/Banner - Plant Processing</t>
  </si>
  <si>
    <t>UT Operator I</t>
  </si>
  <si>
    <t>Daniels, Celeste (118210)</t>
  </si>
  <si>
    <t>AMCASTLE/National KwikMetal Service, LLC/NKS Tennessee/NKS - Inside Sales</t>
  </si>
  <si>
    <t>Davenport, Kyle A (116803)</t>
  </si>
  <si>
    <t>Davila, Elijah J (118357)</t>
  </si>
  <si>
    <t>Davila, Gerardo A (117961)</t>
  </si>
  <si>
    <t>Davis, Johnnie C (011554)</t>
  </si>
  <si>
    <t>Davis, Justin (117839)</t>
  </si>
  <si>
    <t>Warehouse Operator II - CAN</t>
  </si>
  <si>
    <t>Davis, William F (118467)</t>
  </si>
  <si>
    <t>AMCASTLE/Devil Ray Inc/Supra/Banner - Plant Management</t>
  </si>
  <si>
    <t>De Dieu, Glenn S (118559)</t>
  </si>
  <si>
    <t>AMCASTLE/A. M. Castle and Co. Canada/Toronto/Plant - Management</t>
  </si>
  <si>
    <t>Operations Manager I - CAN</t>
  </si>
  <si>
    <t>Decanio, Douglas J (052715)</t>
  </si>
  <si>
    <t>AMCASTLE/A. M. Castle and Co./Dallas/Plant - Management</t>
  </si>
  <si>
    <t>Deiuliis, Victoria (117877)</t>
  </si>
  <si>
    <t>Compensation &amp; Payroll Manager</t>
  </si>
  <si>
    <t>Delaney, Eric (116165)</t>
  </si>
  <si>
    <t>Delzer, Travis (116149)</t>
  </si>
  <si>
    <t>Depew, Robert A (009409)</t>
  </si>
  <si>
    <t>Desper, Adam (118442)</t>
  </si>
  <si>
    <t>AMCASTLE/National KwikMetal Service, LLC/NKS Tennessee/NKS - Plant Management</t>
  </si>
  <si>
    <t>Director, Regional Ops</t>
  </si>
  <si>
    <t>Diaz, Daniel (117943)</t>
  </si>
  <si>
    <t>AMCASTLE/National KwikMetal Service, LLC/NKS Itasca/NKS - Plant Processing</t>
  </si>
  <si>
    <t>Diaz, Marcos (118340)</t>
  </si>
  <si>
    <t>Dixon, Daniel (116316)</t>
  </si>
  <si>
    <t>AMCASTLE/A. M. Castle and Co./Philadelphia/Admin - District Mgmt</t>
  </si>
  <si>
    <t>Director of Sales</t>
  </si>
  <si>
    <t>Dorst, Jason E (116981)</t>
  </si>
  <si>
    <t>Dotson, Zebulen (118237)</t>
  </si>
  <si>
    <t>Drost, Donald (118604)</t>
  </si>
  <si>
    <t>Dunn, Luke E (117403)</t>
  </si>
  <si>
    <t>AMCASTLE/A. M. Castle and Co./H-A Industries/Plant - Maintenance</t>
  </si>
  <si>
    <t>Maintenance A</t>
  </si>
  <si>
    <t>Dyke, Tiffany R (001489)</t>
  </si>
  <si>
    <t>Eacobellis, Mick (001922)</t>
  </si>
  <si>
    <t>AMCASTLE/A. M. Castle and Co./Los Angeles/Sales - Outside</t>
  </si>
  <si>
    <t>Ebsch, Patrick (118519)</t>
  </si>
  <si>
    <t>AMCASTLE/Banner Service Corporation/Strongsville/Banner - Warehouse</t>
  </si>
  <si>
    <t>Edeza, Edteodoro (117623)</t>
  </si>
  <si>
    <t>AMCASTLE/A. M. Castle and Co./Los Angeles/Transportation</t>
  </si>
  <si>
    <t>Edwards, Tracy (001444)</t>
  </si>
  <si>
    <t>AMCASTLE/A. M. Castle and Co./Kennesaw/Plant - Processing</t>
  </si>
  <si>
    <t>Ellis, Christina (118534)</t>
  </si>
  <si>
    <t>Chief Human Resources Officer</t>
  </si>
  <si>
    <t>Engelbrecht, Johnathon P (117229)</t>
  </si>
  <si>
    <t>Erosa, Ignacio (012054)</t>
  </si>
  <si>
    <t>Warehouse Operator II</t>
  </si>
  <si>
    <t>Escobar, Cynthia (118522)</t>
  </si>
  <si>
    <t>Benefits Manager</t>
  </si>
  <si>
    <t>Escotto, Omarr (117736)</t>
  </si>
  <si>
    <t>Evans, Gina M (117478)</t>
  </si>
  <si>
    <t>AMCASTLE/A. M. Castle and Co./Corp Shared Services/Admin - Corporate Credit</t>
  </si>
  <si>
    <t>Credit Rep</t>
  </si>
  <si>
    <t>Everett, Cory (116227)</t>
  </si>
  <si>
    <t>Fagan-Bonnell, Colleen (116726)</t>
  </si>
  <si>
    <t>AMCASTLE/A. M. Castle and Co. Canada/Toronto/Sales - Inside</t>
  </si>
  <si>
    <t>Inside Sales Rep - CAN</t>
  </si>
  <si>
    <t>Fairweather, Richard C (000299)</t>
  </si>
  <si>
    <t>Sr Inside Sales Rep - CAN</t>
  </si>
  <si>
    <t>Falana, Moses A (117915)</t>
  </si>
  <si>
    <t>Sr Accountant</t>
  </si>
  <si>
    <t>Falconburg, Colton T (117055)</t>
  </si>
  <si>
    <t>AMCASTLE/A. M. Castle and Co./Wichita/Plant - Processing Mgmt</t>
  </si>
  <si>
    <t>Farac, Michael (117155)</t>
  </si>
  <si>
    <t>AMCASTLE/A. M. Castle and Co./Stockton/Sales - Outside</t>
  </si>
  <si>
    <t>Farberg, Brian K (118608)</t>
  </si>
  <si>
    <t>Farner, Bryan T (118328)</t>
  </si>
  <si>
    <t>Faulkner, Nicholas (118147)</t>
  </si>
  <si>
    <t>Favela, Roberto (118490)</t>
  </si>
  <si>
    <t>Feitoza, Matheus (118574)</t>
  </si>
  <si>
    <t>AMCASTLE/Banner Service Corporation/Windsor/Banner - Plant Processing</t>
  </si>
  <si>
    <t>Fenelon, Timothy J (118082)</t>
  </si>
  <si>
    <t>AMCASTLE/Banner Service Corporation/BSC Carol Stream/Banner - Outside Sales</t>
  </si>
  <si>
    <t>Ferenczy, Dustin D (011824)</t>
  </si>
  <si>
    <t>Ferguson, Daniel A (055811)</t>
  </si>
  <si>
    <t>AMCASTLE/A. M. Castle and Co./H-A Industries/Transportation</t>
  </si>
  <si>
    <t>Traffic Manager</t>
  </si>
  <si>
    <t>Fisher, Denise L (118548)</t>
  </si>
  <si>
    <t>Fitzpatrick, John (117742)</t>
  </si>
  <si>
    <t>AMCASTLE/A. M. Castle and Co./Philadelphia/Plant - Non-Processing</t>
  </si>
  <si>
    <t>Fletcher, Ralph (118571)</t>
  </si>
  <si>
    <t>Flora, Susan J (117447)</t>
  </si>
  <si>
    <t>Flores, Luis (001942)</t>
  </si>
  <si>
    <t>Fogarty, Tim (117817)</t>
  </si>
  <si>
    <t>AMCASTLE/A. M. Castle and Co./Janesville/Sales - Outside</t>
  </si>
  <si>
    <t>Regional Sales Manager II</t>
  </si>
  <si>
    <t>Ford, Kenneth (117962)</t>
  </si>
  <si>
    <t>Foster, Richard C (116890)</t>
  </si>
  <si>
    <t>Fox, Eileen M (056824)</t>
  </si>
  <si>
    <t>Fox, Kara K (011879)</t>
  </si>
  <si>
    <t>AMCASTLE/A. M. Castle and Co./Janesville/Sales - Management</t>
  </si>
  <si>
    <t>Regional Inside Sales Manager</t>
  </si>
  <si>
    <t>Fox, Troy D (012732)</t>
  </si>
  <si>
    <t>Franco, Patrick (117771)</t>
  </si>
  <si>
    <t>AMCASTLE/A. M. Castle and Co./Dallas/Plant - Non-Processing</t>
  </si>
  <si>
    <t>Frazier, William J (013084)</t>
  </si>
  <si>
    <t>AMCASTLE/A. M. Castle and Co./Dallas/Plant - Processing Mgmt</t>
  </si>
  <si>
    <t>Freeman, Matthew (118227)</t>
  </si>
  <si>
    <t>AMCASTLE/National KwikMetal Service, LLC/NKS Tennessee/NKS - Warehouse</t>
  </si>
  <si>
    <t>Friddle, Parker (118513)</t>
  </si>
  <si>
    <t>Friedlander, Steven A (012047)</t>
  </si>
  <si>
    <t>Friedlander, Steven A (116714)</t>
  </si>
  <si>
    <t>Frith, Charles (117758)</t>
  </si>
  <si>
    <t>Frush, Samuel E (118171)</t>
  </si>
  <si>
    <t>Fuentes, Salvador (117431)</t>
  </si>
  <si>
    <t>AMCASTLE/A. M. Castle and Co./Janesville/Plant - Maintenance</t>
  </si>
  <si>
    <t>Fugate, Ronald D (011334)</t>
  </si>
  <si>
    <t>AMCASTLE/A. M. Castle and Co./H-A Industries/Plant - Non-Processing</t>
  </si>
  <si>
    <t>Expeditor and Lab Tech</t>
  </si>
  <si>
    <t>Galvez, Alfonso (118575)</t>
  </si>
  <si>
    <t>Garcia, Antonio (118439)</t>
  </si>
  <si>
    <t>Garcia, Armando (118139)</t>
  </si>
  <si>
    <t>Garcia, Brianna L (117577)</t>
  </si>
  <si>
    <t>Garcia, Efrain (118222)</t>
  </si>
  <si>
    <t>Garcia, Elijio A (118377)</t>
  </si>
  <si>
    <t>Garcia, Francisco (118402)</t>
  </si>
  <si>
    <t>Garcia, Gregorio (118266)</t>
  </si>
  <si>
    <t>Garcia, Henry (013475)</t>
  </si>
  <si>
    <t>AMCASTLE/A. M. Castle and Co./Wichita/Plant - Management</t>
  </si>
  <si>
    <t>Garcia, Vidal A (117778)</t>
  </si>
  <si>
    <t>Supply Chain Administrator</t>
  </si>
  <si>
    <t>Gargis, David R (118154)</t>
  </si>
  <si>
    <t>Manufacturing Engineer</t>
  </si>
  <si>
    <t>Garrett, Scott A (117522)</t>
  </si>
  <si>
    <t>AMCASTLE/A. M. Castle and Co./Wichita/Plant - Processing</t>
  </si>
  <si>
    <t>Garrity, Patrick (118306)</t>
  </si>
  <si>
    <t>Gates, Edmund R (116987)</t>
  </si>
  <si>
    <t>Geis, Constance K (057623)</t>
  </si>
  <si>
    <t>AMCASTLE/A. M. Castle and Co./Cleveland/Sales - Inside</t>
  </si>
  <si>
    <t>German, Jennifer R (011185)</t>
  </si>
  <si>
    <t>Contract &amp; Strategic Account Analyst</t>
  </si>
  <si>
    <t>Gibbons-Smith, Alexander L (118393)</t>
  </si>
  <si>
    <t>Gilbert, Jeremy J (012224)</t>
  </si>
  <si>
    <t>Gilbert, Spencer M (118480)</t>
  </si>
  <si>
    <t>UT Operator II</t>
  </si>
  <si>
    <t>Gilkenson, Anthony (118536)</t>
  </si>
  <si>
    <t>Giraldo-Munoz, Javier (118391)</t>
  </si>
  <si>
    <t>Gistarb, Patrick L (118565)</t>
  </si>
  <si>
    <t>Glasgow, Barbara J (118414)</t>
  </si>
  <si>
    <t>Glenn, Brianna (116589)</t>
  </si>
  <si>
    <t>Glodack, Richard (117990)</t>
  </si>
  <si>
    <t>AMCASTLE/Banner Service Corporation/Strongsville/Banner - Plant Processing</t>
  </si>
  <si>
    <t>Godinez, Carlos (117782)</t>
  </si>
  <si>
    <t>Golden, Michelle J (010899)</t>
  </si>
  <si>
    <t>AMCASTLE/A. M. Castle and Co./Dallas/Transportation</t>
  </si>
  <si>
    <t>Gomez, Craig R (118039)</t>
  </si>
  <si>
    <t>Gomez, Karla K (118334)</t>
  </si>
  <si>
    <t>AMCASTLE/Banner Pump and Materials Inc./BPM Lubbock/Banner - Operations Suppo</t>
  </si>
  <si>
    <t>Gomez, Roberto (118362)</t>
  </si>
  <si>
    <t>Gomez, Salvador (117606)</t>
  </si>
  <si>
    <t>Gonzales, Carlos (012407)</t>
  </si>
  <si>
    <t>AMCASTLE/A. M. Castle and Co./Los Angeles/Plant - Non-Processing</t>
  </si>
  <si>
    <t>Gonzalez Gallastegui, Asier (117316)</t>
  </si>
  <si>
    <t>AMCASTLE/A. M. Castle and Co./HQ - Aerospace/Sales - Commercial Execs</t>
  </si>
  <si>
    <t>EVP, Aerospace</t>
  </si>
  <si>
    <t>Gonzalez, Julio (117945)</t>
  </si>
  <si>
    <t>Gonzalez, Lionel (117935)</t>
  </si>
  <si>
    <t>Gonzalez, Marcos (118280)</t>
  </si>
  <si>
    <t>Gordon, David A (117243)</t>
  </si>
  <si>
    <t>Gorman, Randall P (117101)</t>
  </si>
  <si>
    <t>Graczyk, Joshua (116562)</t>
  </si>
  <si>
    <t>Greving, Justin J (116961)</t>
  </si>
  <si>
    <t>Gringle, Brian (118042)</t>
  </si>
  <si>
    <t>AMCASTLE/Banner Service Corporation/Strongsville/Banner - Plant Management</t>
  </si>
  <si>
    <t>Gringle, Hayden (118187)</t>
  </si>
  <si>
    <t>Guedry, Polly B (070037)</t>
  </si>
  <si>
    <t>AMCASTLE/A. M. Castle and Co./Dallas/Sales - Inside</t>
  </si>
  <si>
    <t>Guevara Mendez, Gozos (118117)</t>
  </si>
  <si>
    <t>Gunning, Cary J (015680)</t>
  </si>
  <si>
    <t>Gutierrez, Saul I (118408)</t>
  </si>
  <si>
    <t>Haarsma, Ben (011907)</t>
  </si>
  <si>
    <t>AMCASTLE/A. M. Castle and Co. Canada/Winnipeg/Sales - Inside</t>
  </si>
  <si>
    <t>Hacking, Myron L (011452)</t>
  </si>
  <si>
    <t>Hage, Salim (118505)</t>
  </si>
  <si>
    <t>Haggedus, Matthew (118356)</t>
  </si>
  <si>
    <t>Hall, Kathryne M (001399)</t>
  </si>
  <si>
    <t>Business Process Specialist</t>
  </si>
  <si>
    <t>Hallin, David (118359)</t>
  </si>
  <si>
    <t>AMCASTLE/Banner Service Corporation/BSC Carol Stream/Banner - Quality</t>
  </si>
  <si>
    <t>Segment Dir, Quality</t>
  </si>
  <si>
    <t>Hamilton, Andrew (118600)</t>
  </si>
  <si>
    <t>Hammers, Jesse (118130)</t>
  </si>
  <si>
    <t>Hamulak, John (117531)</t>
  </si>
  <si>
    <t>Hansen, Erik D (118256)</t>
  </si>
  <si>
    <t>AMCASTLE/Banner Service Corporation/BSC Carol Stream/Banner - Sales Management</t>
  </si>
  <si>
    <t>Chief Enterprise Sales Of</t>
  </si>
  <si>
    <t>Hansen, Helena S (118481)</t>
  </si>
  <si>
    <t>Hartness, Lisa (118504)</t>
  </si>
  <si>
    <t>AMCASTLE/Banner Service Corporation/BSC Carol Stream/Banner - Human Resources</t>
  </si>
  <si>
    <t>Payroll Administrator</t>
  </si>
  <si>
    <t>Hasan, Syed Osama (118564)</t>
  </si>
  <si>
    <t>Sr Financial Analyst</t>
  </si>
  <si>
    <t>Hawkins, LaTisha J (118055)</t>
  </si>
  <si>
    <t>AMCASTLE/National KwikMetal Service, LLC/NKS Des Plaines/NKS - Operations Support</t>
  </si>
  <si>
    <t>Hawthorne, Walter J (016559)</t>
  </si>
  <si>
    <t>AMCASTLE/A. M. Castle and Co./Cleveland/Plant - Management</t>
  </si>
  <si>
    <t>Haynes, Larry J (117200)</t>
  </si>
  <si>
    <t>Hendry, William R (001443)</t>
  </si>
  <si>
    <t>AMCASTLE/A. M. Castle and Co./Kennesaw/Plant - Processing Mgmt</t>
  </si>
  <si>
    <t>Henkel, Timothy A (117108)</t>
  </si>
  <si>
    <t>Heraghty, Kathleen (117595)</t>
  </si>
  <si>
    <t>Hernandez, Osvaldo (118248)</t>
  </si>
  <si>
    <t>AMCASTLE/National KwikMetal Service, LLC/NKS Itasca/NKS - Warehouse</t>
  </si>
  <si>
    <t>Herrera, Fidel (118112)</t>
  </si>
  <si>
    <t>Hester, Sherry (118385)</t>
  </si>
  <si>
    <t>Heyn, Eric J (117062)</t>
  </si>
  <si>
    <t>Senior Director, Global Supply</t>
  </si>
  <si>
    <t>Hill, Emily J (118427)</t>
  </si>
  <si>
    <t>Hobson, Eric S (118229)</t>
  </si>
  <si>
    <t>AMCASTLE/Banner Medical Innovations Inc./BMI Warsaw/Banner - Quality</t>
  </si>
  <si>
    <t>Lab Technician</t>
  </si>
  <si>
    <t>Hoffmann, Sandra J (078901)</t>
  </si>
  <si>
    <t>Sr Product Specialist</t>
  </si>
  <si>
    <t>Hollan, Vincent R (116711)</t>
  </si>
  <si>
    <t>Horman, Laurie (070859)</t>
  </si>
  <si>
    <t>Howard, Lester J (118601)</t>
  </si>
  <si>
    <t>Hubley, Jonathan (117660)</t>
  </si>
  <si>
    <t>Hudson, Eric A (118252)</t>
  </si>
  <si>
    <t>Huitrado, Guillermo (118116)</t>
  </si>
  <si>
    <t>Hunt, Joseph J (118100)</t>
  </si>
  <si>
    <t>AMCASTLE/Banner Service Corporation/Windsor/Banner - Maintenance</t>
  </si>
  <si>
    <t>Hwang, Sejin (118545)</t>
  </si>
  <si>
    <t>Iannotta, Anna M (117129)</t>
  </si>
  <si>
    <t>Sr Treasury Analyst</t>
  </si>
  <si>
    <t>Ibarra, Sandra (117908)</t>
  </si>
  <si>
    <t>Ilic, Zoran (118321)</t>
  </si>
  <si>
    <t>Iliopoulos, Anthony J (118426)</t>
  </si>
  <si>
    <t>Ingols, Ryan W (116247)</t>
  </si>
  <si>
    <t>AMCASTLE/A. M. Castle and Co./Charlotte/Sales - Outside</t>
  </si>
  <si>
    <t>Isenberg, Julie (001671)</t>
  </si>
  <si>
    <t>AMCASTLE/A. M. Castle and Co./Kennesaw/Sales - Strat Act-BD-Supp</t>
  </si>
  <si>
    <t>Contracts Manager</t>
  </si>
  <si>
    <t>Jackson, Rodontia (001620)</t>
  </si>
  <si>
    <t>James, Lamar (118585)</t>
  </si>
  <si>
    <t>AMCASTLE/A. M. Castle and Co./Charlotte/Plant - Non-Processing</t>
  </si>
  <si>
    <t>Jameson, Dakota C (118593)</t>
  </si>
  <si>
    <t>Jamieson, Russell (118523)</t>
  </si>
  <si>
    <t>AMCASTLE/National KwikMetal Service, LLC/NKS Tennessee/NKS - Outside Sales</t>
  </si>
  <si>
    <t>Janeczek, Abigail R (118582)</t>
  </si>
  <si>
    <t>Jendras, Christy L (012239)</t>
  </si>
  <si>
    <t>Accounting Supervisor</t>
  </si>
  <si>
    <t>Jenke, Ryne (117632)</t>
  </si>
  <si>
    <t>Product Specialist</t>
  </si>
  <si>
    <t>Jenkins, Lamar (118479)</t>
  </si>
  <si>
    <t>Jeremic, Milan T (018518)</t>
  </si>
  <si>
    <t>AMCASTLE/A. M. Castle and Co./Cleveland/Plant - Non-Processing</t>
  </si>
  <si>
    <t>Johannson, Karlene H (000094)</t>
  </si>
  <si>
    <t>Johnson, Brian E (012095)</t>
  </si>
  <si>
    <t>Johnston, Monica A (117281)</t>
  </si>
  <si>
    <t>Jones, Anthony (118297)</t>
  </si>
  <si>
    <t>Jones, Robert T (116994)</t>
  </si>
  <si>
    <t>AMCASTLE/A. M. Castle and Co./Janesville/Plant - Management</t>
  </si>
  <si>
    <t>Operations Manager III</t>
  </si>
  <si>
    <t>Jung, Guseul (118584)</t>
  </si>
  <si>
    <t>Juriga, Mark J (011600)</t>
  </si>
  <si>
    <t>Kalvakolu, Sandeep (116024)</t>
  </si>
  <si>
    <t>Senior Oracle Administrator</t>
  </si>
  <si>
    <t>Kaneshiro, Cynthia L (118133)</t>
  </si>
  <si>
    <t>Kanute, John D (012246)</t>
  </si>
  <si>
    <t>Kaur, Sandeep (012319)</t>
  </si>
  <si>
    <t>Kebernik, Andrej (116696)</t>
  </si>
  <si>
    <t>AMCASTLE/A. M. Castle and Co. Canada/Winnipeg/Plant - Processing</t>
  </si>
  <si>
    <t>Keck, Matthias (118358)</t>
  </si>
  <si>
    <t>Kehn, Thomas (118317)</t>
  </si>
  <si>
    <t>AMCASTLE/Banner Medical Innovations Inc./BMI Carol Stream/Banner - Outside Sales</t>
  </si>
  <si>
    <t>Keirn, Brian S (118122)</t>
  </si>
  <si>
    <t>Kelman, Tina L (117003)</t>
  </si>
  <si>
    <t>Khai, Cin S (118578)</t>
  </si>
  <si>
    <t>Khai, Lang (118021)</t>
  </si>
  <si>
    <t>Khai, Thang M (118552)</t>
  </si>
  <si>
    <t>Kham, Paul S (118294)</t>
  </si>
  <si>
    <t>Khan, Pervez (118163)</t>
  </si>
  <si>
    <t>Kilduff, Shane (117882)</t>
  </si>
  <si>
    <t>AMCASTLE/A. M. Castle and Co./Philadelphia/Plant - Management</t>
  </si>
  <si>
    <t>Kistinger, Cody (118341)</t>
  </si>
  <si>
    <t>AMCASTLE/National KwikMetal Service, LLC/NKS Des Plaines/NKS - Finance</t>
  </si>
  <si>
    <t>Credit Assistant</t>
  </si>
  <si>
    <t>Klein, Jacob (118541)</t>
  </si>
  <si>
    <t>Knight, Kenneth (020137)</t>
  </si>
  <si>
    <t>Knost, Hannah (118583)</t>
  </si>
  <si>
    <t>Koeppen, Jesse (011581)</t>
  </si>
  <si>
    <t>Kohn, Shawn (116505)</t>
  </si>
  <si>
    <t>Kokkinias, Lindsey (118527)</t>
  </si>
  <si>
    <t>AMCASTLE/A. M. Castle and Co./AMC Corporate/Admin - Legal</t>
  </si>
  <si>
    <t>Legal Administrative Asst</t>
  </si>
  <si>
    <t>Komenda, Jason V (118531)</t>
  </si>
  <si>
    <t>Senior Dir of Accounting</t>
  </si>
  <si>
    <t>Kostich, Maverick (117851)</t>
  </si>
  <si>
    <t>Krohn, Ann M (118125)</t>
  </si>
  <si>
    <t>Kubitz, Karen L (011991)</t>
  </si>
  <si>
    <t>Kujawa, Nicholas J (117770)</t>
  </si>
  <si>
    <t>Kurgan, Michelle N (118319)</t>
  </si>
  <si>
    <t>AMCASTLE/Banner Service Corporation/BSC Carol Stream/Banner - Purchasing</t>
  </si>
  <si>
    <t>Director, Purchasing</t>
  </si>
  <si>
    <t>Kus, Donald (118349)</t>
  </si>
  <si>
    <t>Langton, Matthew (118554)</t>
  </si>
  <si>
    <t>AMCASTLE/Banner Medical Innovations Inc./BMI Carol Stream/Banner - Executive</t>
  </si>
  <si>
    <t>President</t>
  </si>
  <si>
    <t>Lansdon, Gayle A (117880)</t>
  </si>
  <si>
    <t>Sr Credit Rep</t>
  </si>
  <si>
    <t>Latham, Lauren T (011798)</t>
  </si>
  <si>
    <t>AMCASTLE/A. M. Castle and Co./Charlotte/Admin - District Mgmt</t>
  </si>
  <si>
    <t>Branch Manager I</t>
  </si>
  <si>
    <t>Latsavong, Nakhonesin (117996)</t>
  </si>
  <si>
    <t>Lawlor, Matthew S (118056)</t>
  </si>
  <si>
    <t>Lawlor, Michael J (020800)</t>
  </si>
  <si>
    <t>Operator C</t>
  </si>
  <si>
    <t>Lawson, Matthew R (117223)</t>
  </si>
  <si>
    <t>Layon, Richard L (118511)</t>
  </si>
  <si>
    <t>Leasure, Kristopher W (117936)</t>
  </si>
  <si>
    <t>Leavy, Suzanne (118596)</t>
  </si>
  <si>
    <t>Lee, Robert J (117054)</t>
  </si>
  <si>
    <t>AMCASTLE/A. M. Castle and Co./Cleveland/Sales - Outside</t>
  </si>
  <si>
    <t>Lee, William (117618)</t>
  </si>
  <si>
    <t>Lege, Danielle R (116038)</t>
  </si>
  <si>
    <t>AMCASTLE/A. M. Castle and Co./Dallas/Admin - District Mgmt</t>
  </si>
  <si>
    <t>Rg VP Sales and Operation</t>
  </si>
  <si>
    <t>Leon, Miguel (021031)</t>
  </si>
  <si>
    <t>Lepe, Carlos (117702)</t>
  </si>
  <si>
    <t>Lewis, Daniel D (117989)</t>
  </si>
  <si>
    <t>Chief Financial Officer</t>
  </si>
  <si>
    <t>Lisiecki, Lindsey J (117504)</t>
  </si>
  <si>
    <t>Looby, Christopher J (117178)</t>
  </si>
  <si>
    <t>AMCASTLE/A. M. Castle and Co./Kennesaw/Operations Support</t>
  </si>
  <si>
    <t>Lopez Cardona, Jose D (118567)</t>
  </si>
  <si>
    <t>Lopez Osorio, Sergio V (118146)</t>
  </si>
  <si>
    <t>Lopez, Daniel D (118193)</t>
  </si>
  <si>
    <t>AMCASTLE/Banner Pump and Materials Inc./BPM Lubbock/Banner - Warehouse</t>
  </si>
  <si>
    <t>Lopez, Ricardo (117954)</t>
  </si>
  <si>
    <t>Lovejoy, Kyle V (118518)</t>
  </si>
  <si>
    <t>Lovelace, Kevin (117674)</t>
  </si>
  <si>
    <t>Lowman, Rebecca (118563)</t>
  </si>
  <si>
    <t>Lozano, Rodolfo (118361)</t>
  </si>
  <si>
    <t>Lucas, James T (117340)</t>
  </si>
  <si>
    <t>Luckey, Eric C (022201)</t>
  </si>
  <si>
    <t>AMCASTLE/A. M. Castle and Co./Charlotte/Plant - Processing</t>
  </si>
  <si>
    <t>Lutheran, Deborah (012469)</t>
  </si>
  <si>
    <t>Pricing Specialist</t>
  </si>
  <si>
    <t>Macfarland, Patrick G (117188)</t>
  </si>
  <si>
    <t>AMCASTLE/A. M. Castle and Co./Los Angeles/Plant - Processing Mgmt</t>
  </si>
  <si>
    <t>Maggio, Jennifer M (011858)</t>
  </si>
  <si>
    <t>Trade Compliance Manager</t>
  </si>
  <si>
    <t>Maglalang, Noel A (012105)</t>
  </si>
  <si>
    <t>Mahler, Josh R (118524)</t>
  </si>
  <si>
    <t>Majd, Ayman (117413)</t>
  </si>
  <si>
    <t>Majette, Calvin (012237)</t>
  </si>
  <si>
    <t>Malik, Mariusz B (116845)</t>
  </si>
  <si>
    <t>Network and Security Manager</t>
  </si>
  <si>
    <t>Mamahua, Jose L (118290)</t>
  </si>
  <si>
    <t>Mangas, Timothy B (117929)</t>
  </si>
  <si>
    <t>AMCASTLE/Banner Medical Innovations Inc./BMI Warsaw/Banner - Sales Management</t>
  </si>
  <si>
    <t>VP, Sales</t>
  </si>
  <si>
    <t>Mangus, Laura M (117739)</t>
  </si>
  <si>
    <t>Director Marketing and Communications</t>
  </si>
  <si>
    <t>Mansperger, Joel D (071223)</t>
  </si>
  <si>
    <t>Marquardt, Isaac (118553)</t>
  </si>
  <si>
    <t>Marsalli, Brett J (118455)</t>
  </si>
  <si>
    <t>Martin, Clint (115982)</t>
  </si>
  <si>
    <t>Director Strategic Accounts</t>
  </si>
  <si>
    <t>Martin, Daniel L (011988)</t>
  </si>
  <si>
    <t>Martinez, Omar (118346)</t>
  </si>
  <si>
    <t>Massey, Matthew (118312)</t>
  </si>
  <si>
    <t>Mata, Angel (118156)</t>
  </si>
  <si>
    <t>Mata, Jose A (118031)</t>
  </si>
  <si>
    <t>AMCASTLE/Devil Ray Inc/Supra/Banner - Warehouse Qual</t>
  </si>
  <si>
    <t>Mautz, Justin (118271)</t>
  </si>
  <si>
    <t>May, Donald E (023366)</t>
  </si>
  <si>
    <t>McClain, Richard G (001240)</t>
  </si>
  <si>
    <t>McCuiston, Tabitha (118586)</t>
  </si>
  <si>
    <t>McDevitt, Gregory A (012380)</t>
  </si>
  <si>
    <t>McDonald, Timothy J (117521)</t>
  </si>
  <si>
    <t>McFeely, Scott P (023768)</t>
  </si>
  <si>
    <t>McGee, Kimberly A (118445)</t>
  </si>
  <si>
    <t>McMillan, Michael C (117335)</t>
  </si>
  <si>
    <t>Mcdevitt, Cheryl (012381)</t>
  </si>
  <si>
    <t>Mcghee, Melvin L (001775)</t>
  </si>
  <si>
    <t>Medeiros, Vincent P (073227)</t>
  </si>
  <si>
    <t>Mendoza, Juan R (118453)</t>
  </si>
  <si>
    <t>Menez, Enrique M (118430)</t>
  </si>
  <si>
    <t>Mercado, Antonette (117812)</t>
  </si>
  <si>
    <t>Accountant</t>
  </si>
  <si>
    <t>Mercado, Martin (117976)</t>
  </si>
  <si>
    <t>Operations &amp; Quality Manager</t>
  </si>
  <si>
    <t>Meyer, Andrew (117790)</t>
  </si>
  <si>
    <t>Millar, Ann M (118079)</t>
  </si>
  <si>
    <t>Miller, Joe (118544)</t>
  </si>
  <si>
    <t>Miller, Leonard G (012222)</t>
  </si>
  <si>
    <t>Mills, Michael (117797)</t>
  </si>
  <si>
    <t>Machine Operator - CAN</t>
  </si>
  <si>
    <t>Minano, Yvonne D (001842)</t>
  </si>
  <si>
    <t>Moffenbier, Anthony W (118277)</t>
  </si>
  <si>
    <t>Moinuddin, Khaja (116110)</t>
  </si>
  <si>
    <t>Business Intelligence Technical Lead</t>
  </si>
  <si>
    <t>Monkman, Dale (000073)</t>
  </si>
  <si>
    <t>Production Lead - CAN</t>
  </si>
  <si>
    <t>Montagino, Lundy L (025193)</t>
  </si>
  <si>
    <t>AMCASTLE/A. M. Castle and Co./Cleveland/Plant - Maintenance</t>
  </si>
  <si>
    <t>Montalvo, Jose L (118131)</t>
  </si>
  <si>
    <t>Montalvo, Juan (118173)</t>
  </si>
  <si>
    <t>AMCASTLE/Banner Service Corporation/BSC Carol Stream/Banner - Maintenance</t>
  </si>
  <si>
    <t>Montalvo, Leopoldo (118365)</t>
  </si>
  <si>
    <t>Montalvo, Luis (118084)</t>
  </si>
  <si>
    <t>Montalvo, Martin (118201)</t>
  </si>
  <si>
    <t>Montalvo, Nicolas (118472)</t>
  </si>
  <si>
    <t>Montalvo, Santiago B (118546)</t>
  </si>
  <si>
    <t>Montalvo-Chavez, Leopoldo (118009)</t>
  </si>
  <si>
    <t>Montilla, Copper G (116719)</t>
  </si>
  <si>
    <t>Montoya, Dagoberto (025429)</t>
  </si>
  <si>
    <t>AMCASTLE/A. M. Castle and Co./H-A Industries/Plant - Processing Mgmt</t>
  </si>
  <si>
    <t>Maintenance Supervisor</t>
  </si>
  <si>
    <t>Moo, Kaw (118410)</t>
  </si>
  <si>
    <t>Moore, Jacqueline (118080)</t>
  </si>
  <si>
    <t>Cash Application Clerk</t>
  </si>
  <si>
    <t>Moore, Jennifer K (117987)</t>
  </si>
  <si>
    <t>AMCASTLE/Banner Medical Innovations Inc./BMI Warsaw/Banner - Plant Management</t>
  </si>
  <si>
    <t>Moore, Kayla E (118284)</t>
  </si>
  <si>
    <t>Inside Sales Manager I</t>
  </si>
  <si>
    <t>Moore, Melissa (117857)</t>
  </si>
  <si>
    <t>Mora, Brian E (117222)</t>
  </si>
  <si>
    <t>Morales, Jose (118491)</t>
  </si>
  <si>
    <t>Moreno, Jlee (118514)</t>
  </si>
  <si>
    <t>Moreno, Laura (117307)</t>
  </si>
  <si>
    <t>Morgan, Vikki L (118353)</t>
  </si>
  <si>
    <t>Mota, Anastacio (118060)</t>
  </si>
  <si>
    <t>Mueller, Matthew J (117002)</t>
  </si>
  <si>
    <t>Mullen, Scott (116230)</t>
  </si>
  <si>
    <t>Mullins, Ethan (118105)</t>
  </si>
  <si>
    <t>Mung, Kham L (118372)</t>
  </si>
  <si>
    <t>Munoz, David (117867)</t>
  </si>
  <si>
    <t>AMCASTLE/A. M. Castle and Co./Wichita/Plant - Non-Processing</t>
  </si>
  <si>
    <t>Murillo, David (118370)</t>
  </si>
  <si>
    <t>Murillo, Martin (118077)</t>
  </si>
  <si>
    <t>Murray, Heather L (116992)</t>
  </si>
  <si>
    <t>Musgjerd, Benjamin T (117600)</t>
  </si>
  <si>
    <t>AMCASTLE/A. M. Castle and Co./Stockton/Admin - District Mgmt</t>
  </si>
  <si>
    <t>Nagy, Louis J (118102)</t>
  </si>
  <si>
    <t>Napier, Jairl (118129)</t>
  </si>
  <si>
    <t>Navarete, Antonio (118165)</t>
  </si>
  <si>
    <t>Navarrete, Eloy (118448)</t>
  </si>
  <si>
    <t>Navarrete, Jorge (118272)</t>
  </si>
  <si>
    <t>AMCASTLE/National KwikMetal Service, LLC/NKS Itasca/NKS - Plant Management</t>
  </si>
  <si>
    <t>Navarrete, Juana (118476)</t>
  </si>
  <si>
    <t>Navarrete, Mario (117933)</t>
  </si>
  <si>
    <t>Navarrete, Oscar (118437)</t>
  </si>
  <si>
    <t>Plant Manager II</t>
  </si>
  <si>
    <t>Nealer, Shawn A (117146)</t>
  </si>
  <si>
    <t>AMCASTLE/A. M. Castle and Co./Charlotte/Plant - Management</t>
  </si>
  <si>
    <t>Nebel, Catherine A (118592)</t>
  </si>
  <si>
    <t>Neill, Allen (011533)</t>
  </si>
  <si>
    <t>AMCASTLE/A. M. Castle and Co. Canada/Toronto/Sales - Outside</t>
  </si>
  <si>
    <t>Regional Sales Manager III - CAN</t>
  </si>
  <si>
    <t>Neubauer, Eric T (118066)</t>
  </si>
  <si>
    <t>Nevarez, Jovany (117847)</t>
  </si>
  <si>
    <t>Newman, Andrea (118307)</t>
  </si>
  <si>
    <t>Nicastro, Dominic (117154)</t>
  </si>
  <si>
    <t>Nielsen, Douglas J (026532)</t>
  </si>
  <si>
    <t>Commodity Manager</t>
  </si>
  <si>
    <t>Nieves, Juan M (116910)</t>
  </si>
  <si>
    <t>Nkobi, Keefe (117080)</t>
  </si>
  <si>
    <t>Norman, John (118539)</t>
  </si>
  <si>
    <t>O'Mara, Kimberly A (064413)</t>
  </si>
  <si>
    <t>AMCASTLE/A. M. Castle and Co./HQ - Industrial/Sales - Commercial Execs</t>
  </si>
  <si>
    <t>Inside Sales and Pricing Director</t>
  </si>
  <si>
    <t>Oblak, Erika (012388)</t>
  </si>
  <si>
    <t>Ochoa, Armando J (117254)</t>
  </si>
  <si>
    <t>Oehrke, James R (117553)</t>
  </si>
  <si>
    <t>Oja, Robert S (117019)</t>
  </si>
  <si>
    <t>Olson, Timothy R (117331)</t>
  </si>
  <si>
    <t>Olszewski, Julie (116221)</t>
  </si>
  <si>
    <t>Oo, Zam M (118260)</t>
  </si>
  <si>
    <t>Orozco, Jose I (118217)</t>
  </si>
  <si>
    <t>Orozco, Juan M (118185)</t>
  </si>
  <si>
    <t>Orszula, Kara (117928)</t>
  </si>
  <si>
    <t>Ortega, Alejandro (011807)</t>
  </si>
  <si>
    <t>Ortiz, Francisco (118241)</t>
  </si>
  <si>
    <t>Ortiz, Yamil (118436)</t>
  </si>
  <si>
    <t>Ostermayer, Mauro (117966)</t>
  </si>
  <si>
    <t>Overby, Melissa H (001255)</t>
  </si>
  <si>
    <t>Corporate Inventory Manager</t>
  </si>
  <si>
    <t>Owens, Jordan L (118517)</t>
  </si>
  <si>
    <t>Pablo, Emilio (118261)</t>
  </si>
  <si>
    <t>Padmanathan, Cogi (117261)</t>
  </si>
  <si>
    <t>AMCASTLE/A. M. Castle and Co. Canada/Toronto/Admin - Supply Chain</t>
  </si>
  <si>
    <t>Supply Chain Analyst - CAN</t>
  </si>
  <si>
    <t>Panganiban, Anita (116490)</t>
  </si>
  <si>
    <t>Legal and Risk Manager</t>
  </si>
  <si>
    <t>Paoulos, Michael (118599)</t>
  </si>
  <si>
    <t>Parker, Dottie L (118081)</t>
  </si>
  <si>
    <t>Patino, Armando (118351)</t>
  </si>
  <si>
    <t>Patterson, Scott K (118291)</t>
  </si>
  <si>
    <t>Sales Manager</t>
  </si>
  <si>
    <t>Pau, Peter (118399)</t>
  </si>
  <si>
    <t>Pausa, John A (118234)</t>
  </si>
  <si>
    <t>Sr AR Assistant</t>
  </si>
  <si>
    <t>Paxson, John A (027902)</t>
  </si>
  <si>
    <t>Peck, Douglas C (012329)</t>
  </si>
  <si>
    <t>VP of Sales</t>
  </si>
  <si>
    <t>Peete, La-Tia' (118606)</t>
  </si>
  <si>
    <t>Sr Talent Acquisition Specialist</t>
  </si>
  <si>
    <t>Pelletier, Brian (117449)</t>
  </si>
  <si>
    <t>General Counsel</t>
  </si>
  <si>
    <t>Pelletier, Nolan (117887)</t>
  </si>
  <si>
    <t>Network Administrator I</t>
  </si>
  <si>
    <t>Pena, Isaiah M (118246)</t>
  </si>
  <si>
    <t>Pennells, Sean (012194)</t>
  </si>
  <si>
    <t>Peretti, Donald L (117859)</t>
  </si>
  <si>
    <t>Perez, David (117642)</t>
  </si>
  <si>
    <t>Pesola, James R (118034)</t>
  </si>
  <si>
    <t>AMCASTLE/Banner Medical Innovations Inc./BMI Carol Stream/Banner - Operations Suppo</t>
  </si>
  <si>
    <t>Pham, Christopher A (118556)</t>
  </si>
  <si>
    <t>Pieroni, Christopher J (054211)</t>
  </si>
  <si>
    <t>Corporate Claims Administrator</t>
  </si>
  <si>
    <t>Pierson, Patrick (117886)</t>
  </si>
  <si>
    <t>Pigatto, Russell A (117193)</t>
  </si>
  <si>
    <t>Pina, Erik R (011890)</t>
  </si>
  <si>
    <t>Pitts, Carlos T (001423)</t>
  </si>
  <si>
    <t>Plath, Kenneth M (118302)</t>
  </si>
  <si>
    <t>Ponce, Lettica M (118216)</t>
  </si>
  <si>
    <t>Potter, Jeffrey L (011627)</t>
  </si>
  <si>
    <t>AMCASTLE/A. M. Castle and Co./Wichita/Sales - Outside</t>
  </si>
  <si>
    <t>Priefer, Eric (117781)</t>
  </si>
  <si>
    <t>Prigge, Benjamin (117658)</t>
  </si>
  <si>
    <t>Supply Chain Analyst</t>
  </si>
  <si>
    <t>Pringle, Kyle A (117725)</t>
  </si>
  <si>
    <t>Prybuto, Tony M (012393)</t>
  </si>
  <si>
    <t>AMCASTLE/A. M. Castle and Co./Cleveland/Sales - Management</t>
  </si>
  <si>
    <t>Pun, Do S (118076)</t>
  </si>
  <si>
    <t>Queisser, Susan B (010923)</t>
  </si>
  <si>
    <t>Accounting Director and Assistant Treasurer</t>
  </si>
  <si>
    <t>Quinn, Edward M (117268)</t>
  </si>
  <si>
    <t>Controller Chief Accounting Officer</t>
  </si>
  <si>
    <t>Quintero, Halver H (115822)</t>
  </si>
  <si>
    <t>Ramirez, Angel A (117775)</t>
  </si>
  <si>
    <t>Ramirez, Antonio (118106)</t>
  </si>
  <si>
    <t>Ramirez, Dario (118521)</t>
  </si>
  <si>
    <t>Ramirez, Darryl (011149)</t>
  </si>
  <si>
    <t>AMCASTLE/A. M. Castle and Co./Los Angeles/Sales - Management</t>
  </si>
  <si>
    <t>Ramirez, Jesse J (118238)</t>
  </si>
  <si>
    <t>Ramirez, Martin (118326)</t>
  </si>
  <si>
    <t>AMCASTLE/Banner Medical Innovations Inc./BMI Carol Stream/Banner - Maintenance</t>
  </si>
  <si>
    <t>Ramirez, Oliverio (118489)</t>
  </si>
  <si>
    <t>Ramos, Paul (011680)</t>
  </si>
  <si>
    <t>Rangel, Antonio (118295)</t>
  </si>
  <si>
    <t>Reilly, Megan (118568)</t>
  </si>
  <si>
    <t>Director, Total Rewards &amp; HRIS</t>
  </si>
  <si>
    <t>Reinecke, Gary (116219)</t>
  </si>
  <si>
    <t>Renwick, Nathan D (118024)</t>
  </si>
  <si>
    <t>AMCASTLE/Banner Service Corporation/Windsor/Banner - Outside Sales</t>
  </si>
  <si>
    <t>Rhodes, Jacqueline (118446)</t>
  </si>
  <si>
    <t>Ri, Ran (118228)</t>
  </si>
  <si>
    <t>Ricardez, Vicente (118400)</t>
  </si>
  <si>
    <t>Richo, Jessica R (001714)</t>
  </si>
  <si>
    <t>Ries, Jeremy (117831)</t>
  </si>
  <si>
    <t>Rios Reyes, Oscar (118419)</t>
  </si>
  <si>
    <t>Rios, Christopher R (118152)</t>
  </si>
  <si>
    <t>Rivera, Hector (118447)</t>
  </si>
  <si>
    <t>Rivota, Dubelza (082976)</t>
  </si>
  <si>
    <t>Robinson, Timothy C (116042)</t>
  </si>
  <si>
    <t>AMCASTLE/A. M. Castle and Co./Cleveland/Admin - District Mgmt</t>
  </si>
  <si>
    <t>Rockwell, Bryce M (118121)</t>
  </si>
  <si>
    <t>AMCASTLE/Banner Service Corporation/Windsor/Banner - Plant Management</t>
  </si>
  <si>
    <t>Rockwell, Harry E (118287)</t>
  </si>
  <si>
    <t>AMCASTLE/Banner Medical Innovations Inc./BMI Warsaw/Banner - Corporate Operat</t>
  </si>
  <si>
    <t>EVP, Operations</t>
  </si>
  <si>
    <t>Rodgers, Matthew (117983)</t>
  </si>
  <si>
    <t>Rodrigues, Jeffrey A (001104)</t>
  </si>
  <si>
    <t>Rodriguez, Carlos A (117862)</t>
  </si>
  <si>
    <t>Rodriguez, Richard B (117290)</t>
  </si>
  <si>
    <t>Roeder, Christopher (118304)</t>
  </si>
  <si>
    <t>VP, Purchasing</t>
  </si>
  <si>
    <t>Roeder, Christopher P (118605)</t>
  </si>
  <si>
    <t>Romero, Erik (117992)</t>
  </si>
  <si>
    <t>Romero, Ricardo (118209)</t>
  </si>
  <si>
    <t>Rosales, Raul (118383)</t>
  </si>
  <si>
    <t>Rosquist, Stephanie S (116939)</t>
  </si>
  <si>
    <t>Ross, Anthony D (117963)</t>
  </si>
  <si>
    <t>Purchasing Assistant</t>
  </si>
  <si>
    <t>Ross, Joel D (031950)</t>
  </si>
  <si>
    <t>Rosser, Barry A (117365)</t>
  </si>
  <si>
    <t>Routson, Brittney (118561)</t>
  </si>
  <si>
    <t>Rudenko, Andy (115959)</t>
  </si>
  <si>
    <t>Machine Operator III - CAN</t>
  </si>
  <si>
    <t>Russell, Kenneth (118075)</t>
  </si>
  <si>
    <t>AMCASTLE/National KwikMetal Service, LLC/NKS Des Plaines/NKS - Purchasing</t>
  </si>
  <si>
    <t>Segment Dir, Purchasing</t>
  </si>
  <si>
    <t>Ryan, Margaret (082459)</t>
  </si>
  <si>
    <t>Saddler, Craig (116112)</t>
  </si>
  <si>
    <t>Said, Souheil K (118085)</t>
  </si>
  <si>
    <t>Salazar, Jesus J (118484)</t>
  </si>
  <si>
    <t>Salazar, Sarah (117681)</t>
  </si>
  <si>
    <t>Salgado, Lucio (118420)</t>
  </si>
  <si>
    <t>Salgado, Marino (118149)</t>
  </si>
  <si>
    <t>Salomon, Matthew (117529)</t>
  </si>
  <si>
    <t>Samala, Padma (117888)</t>
  </si>
  <si>
    <t>Manager, Enterprise Apps and Technology</t>
  </si>
  <si>
    <t>Samaniego, Julian C (117628)</t>
  </si>
  <si>
    <t>Sanchez, Antonio (118364)</t>
  </si>
  <si>
    <t>AMCASTLE/Banner Service Corporation/Strongsville/Banner - Maintenance</t>
  </si>
  <si>
    <t>Sanchez, Cesar (118384)</t>
  </si>
  <si>
    <t>Sanchez, Jose (118255)</t>
  </si>
  <si>
    <t>Sandoval, Ismael (117925)</t>
  </si>
  <si>
    <t>Sang, Cing (118413)</t>
  </si>
  <si>
    <t>Sang, Vungh T (118432)</t>
  </si>
  <si>
    <t>Sarow, Christopher W (117125)</t>
  </si>
  <si>
    <t>Say, Poe G (118219)</t>
  </si>
  <si>
    <t>Sayre, Michael L (118000)</t>
  </si>
  <si>
    <t>Sr Demand Planner</t>
  </si>
  <si>
    <t>Schaefer, Robert M (033234)</t>
  </si>
  <si>
    <t>Scheibelhut, Brandon J (118373)</t>
  </si>
  <si>
    <t>Schoenholtz, John N (117916)</t>
  </si>
  <si>
    <t>Schrumpf, John (117868)</t>
  </si>
  <si>
    <t>Schultz, Wendy (118371)</t>
  </si>
  <si>
    <t>Segment Mgr, AP</t>
  </si>
  <si>
    <t>Scott, Albert E (033718)</t>
  </si>
  <si>
    <t>Seals, Shannon M (118038)</t>
  </si>
  <si>
    <t>Sears, Zachary L (117918)</t>
  </si>
  <si>
    <t>Seeber, Robert C (012400)</t>
  </si>
  <si>
    <t>Serrano, Juanita N (118411)</t>
  </si>
  <si>
    <t>Shee, Wah (118043)</t>
  </si>
  <si>
    <t>Shelton, Daniel M (118184)</t>
  </si>
  <si>
    <t>Shelton, Thomas (117901)</t>
  </si>
  <si>
    <t>Sianez, Cruz L (118166)</t>
  </si>
  <si>
    <t>Siciliano, Paul R (117679)</t>
  </si>
  <si>
    <t>Siegal, Samantha M (117581)</t>
  </si>
  <si>
    <t>Siegel, Justin (116124)</t>
  </si>
  <si>
    <t>Sigler, Michael B (034025)</t>
  </si>
  <si>
    <t>Simpson, David (118520)</t>
  </si>
  <si>
    <t>AMCASTLE/A. M. Castle and Co. Canada/Winnipeg/Admin - District Mgmt</t>
  </si>
  <si>
    <t>Branch Manager I - CAN</t>
  </si>
  <si>
    <t>Sing, Gin K (118587)</t>
  </si>
  <si>
    <t>Smith, Albert L (089899)</t>
  </si>
  <si>
    <t>Smith, Clifford M (118322)</t>
  </si>
  <si>
    <t>Smith, Richard C (118344)</t>
  </si>
  <si>
    <t>Snyder, Jarred J (011846)</t>
  </si>
  <si>
    <t>Branch Quality Manager</t>
  </si>
  <si>
    <t>Soares-McLean, Alicia (118073)</t>
  </si>
  <si>
    <t>Somogyi, Denise A (046550)</t>
  </si>
  <si>
    <t>Sopczak, Kevin (117777)</t>
  </si>
  <si>
    <t>Soria, Jacob R (118572)</t>
  </si>
  <si>
    <t>Sostenes, Anastacio (118390)</t>
  </si>
  <si>
    <t>Soto, Victor (118263)</t>
  </si>
  <si>
    <t>Spencer, Cynthia (115957)</t>
  </si>
  <si>
    <t>Spoolstra, Twyla (012202)</t>
  </si>
  <si>
    <t>Stabler, Ian S (118595)</t>
  </si>
  <si>
    <t>Stahl, David (118067)</t>
  </si>
  <si>
    <t>AMCASTLE/National KwikMetal Service, LLC/NKS Des Plaines/NKS - Sales Management</t>
  </si>
  <si>
    <t>VP, NKS</t>
  </si>
  <si>
    <t>Stefanson, Andrew (012276)</t>
  </si>
  <si>
    <t>AMCASTLE/A. M. Castle and Co. Canada/Winnipeg/Transportation</t>
  </si>
  <si>
    <t>Transportation Coordinator - CAN</t>
  </si>
  <si>
    <t>Steffens, Kayla E (117332)</t>
  </si>
  <si>
    <t>Branch Inventory Manager</t>
  </si>
  <si>
    <t>Stoettner, Daniel (118058)</t>
  </si>
  <si>
    <t>President and CEO</t>
  </si>
  <si>
    <t>Stokar, Cathy J (064212)</t>
  </si>
  <si>
    <t>Stover, Randall R (035993)</t>
  </si>
  <si>
    <t>Strahler, Christopher (116184)</t>
  </si>
  <si>
    <t>Sturdevant, Sean M (117320)</t>
  </si>
  <si>
    <t>Sturdivant, Larry D (118610)</t>
  </si>
  <si>
    <t>Sturm, Matthew R (117027)</t>
  </si>
  <si>
    <t>Administrative Services Manager</t>
  </si>
  <si>
    <t>Sundara, Saybandith (118316)</t>
  </si>
  <si>
    <t>Sundara, Vilaysone (118314)</t>
  </si>
  <si>
    <t>Sykora, Kevin J (117598)</t>
  </si>
  <si>
    <t>Tacynec, Albert J (087407)</t>
  </si>
  <si>
    <t>Talj, Darine (117402)</t>
  </si>
  <si>
    <t>Tamom, Ngai (118435)</t>
  </si>
  <si>
    <t>Taylor, Karen L (011384)</t>
  </si>
  <si>
    <t>Sr Operations and Inventory Coordinator</t>
  </si>
  <si>
    <t>Templin, Marc C (116018)</t>
  </si>
  <si>
    <t>Terranova, John (117564)</t>
  </si>
  <si>
    <t>AMCASTLE/A. M. Castle and Co. Canada/Toronto/Operations Support</t>
  </si>
  <si>
    <t>Operations Coordinator - CAN</t>
  </si>
  <si>
    <t>Thang, Kam K (118274)</t>
  </si>
  <si>
    <t>Thang, Suan (118233)</t>
  </si>
  <si>
    <t>Ther, Christopher (118540)</t>
  </si>
  <si>
    <t>Sr Director, IT</t>
  </si>
  <si>
    <t>Thorp, Jason D (117794)</t>
  </si>
  <si>
    <t>Tierney, Brian P (011831)</t>
  </si>
  <si>
    <t>Tilley, Terri D (117543)</t>
  </si>
  <si>
    <t>AMCASTLE/A. M. Castle and Co./AMC Corporate/Admin - AMC Executive</t>
  </si>
  <si>
    <t>Office Manager</t>
  </si>
  <si>
    <t>Torres, Samuel (118089)</t>
  </si>
  <si>
    <t>Torres, Saul E (116699)</t>
  </si>
  <si>
    <t>Torres, Vidal G (118395)</t>
  </si>
  <si>
    <t>Trejo, Felipe (117728)</t>
  </si>
  <si>
    <t>Trujillo, Juan (117940)</t>
  </si>
  <si>
    <t>Tshitende, Tshiminyi (117950)</t>
  </si>
  <si>
    <t>Valdez, Noemi (117551)</t>
  </si>
  <si>
    <t>Vasquez, Ivan (118030)</t>
  </si>
  <si>
    <t>Veasey, Joyce A (088888)</t>
  </si>
  <si>
    <t>Veilleux, Heather V (118213)</t>
  </si>
  <si>
    <t>Operations Assistant Lead</t>
  </si>
  <si>
    <t>Venskus, Courtney (117572)</t>
  </si>
  <si>
    <t>Vera, Henrry G (118589)</t>
  </si>
  <si>
    <t>Viaggi, Catia (118396)</t>
  </si>
  <si>
    <t>Vicha Sr., Donald R (038077)</t>
  </si>
  <si>
    <t>Vicha, Donald R (116735)</t>
  </si>
  <si>
    <t>Villa, Jose M (117559)</t>
  </si>
  <si>
    <t>Villarreal, Hector (011569)</t>
  </si>
  <si>
    <t>Villegas, Norma T (083032)</t>
  </si>
  <si>
    <t>Vinayak, Nitin (117705)</t>
  </si>
  <si>
    <t>Operations Assistant - CAN</t>
  </si>
  <si>
    <t>Vine, Adam S (117094)</t>
  </si>
  <si>
    <t>Vitt, Stephen J (090016)</t>
  </si>
  <si>
    <t>AMCASTLE/A. M. Castle and Co./Corp Shared Services/Admin - Quality</t>
  </si>
  <si>
    <t>Vizer, Michael G (117810)</t>
  </si>
  <si>
    <t>Vuittonet, Erika M (118046)</t>
  </si>
  <si>
    <t>Walker, Mary (118542)</t>
  </si>
  <si>
    <t>AMCASTLE/A. M. Castle and Co./Kennesaw/Sales - Management</t>
  </si>
  <si>
    <t>Walker, Steven R (118029)</t>
  </si>
  <si>
    <t>Wall, Amanda M (118015)</t>
  </si>
  <si>
    <t>Wallace, Christina M (041683)</t>
  </si>
  <si>
    <t>Accounts Receivable Supervisor</t>
  </si>
  <si>
    <t>Wallen, Ricky D (118235)</t>
  </si>
  <si>
    <t>Dir, Technical Services</t>
  </si>
  <si>
    <t>Wallen, Spencer (118588)</t>
  </si>
  <si>
    <t>Commercial Excellence LD</t>
  </si>
  <si>
    <t>Warren, Jason D (117432)</t>
  </si>
  <si>
    <t>Watkins, Bennie R (118499)</t>
  </si>
  <si>
    <t>Watkins, Brian (118218)</t>
  </si>
  <si>
    <t>Wenman, Kathryn M (116707)</t>
  </si>
  <si>
    <t>Director Financial Planning and Analysis</t>
  </si>
  <si>
    <t>West, Adam (117972)</t>
  </si>
  <si>
    <t>AMCASTLE/National KwikMetal Service, LLC/NKS Tennessee/NKS - Sales Management</t>
  </si>
  <si>
    <t>West, Jack T (116905)</t>
  </si>
  <si>
    <t>White, Fabian V (116861)</t>
  </si>
  <si>
    <t>Wick, John C (091786)</t>
  </si>
  <si>
    <t>Wigginton, Kristin M (118347)</t>
  </si>
  <si>
    <t>AMCASTLE/National KwikMetal Service, LLC/NKS Des Plaines/NKS - Human Resources</t>
  </si>
  <si>
    <t>HR Coordinator</t>
  </si>
  <si>
    <t>Williams, Jaden (117861)</t>
  </si>
  <si>
    <t>Williams, Jenna M (117184)</t>
  </si>
  <si>
    <t>Director Corp Environment Health Safety</t>
  </si>
  <si>
    <t>Williams, Jennifer R (116043)</t>
  </si>
  <si>
    <t>Williams, Luke E (010948)</t>
  </si>
  <si>
    <t>Williams, Nancy A (117787)</t>
  </si>
  <si>
    <t>Williamson, Deborah L (001604)</t>
  </si>
  <si>
    <t>AMCASTLE/A. M. Castle and Co./Wichita/Sales - Management</t>
  </si>
  <si>
    <t>Wilson, Craig M (118530)</t>
  </si>
  <si>
    <t>Wolf, Nicholas (118569)</t>
  </si>
  <si>
    <t>Wolff, Hannah T (118200)</t>
  </si>
  <si>
    <t>Manager, Digital Marketing</t>
  </si>
  <si>
    <t>Yadav, Jyothi (117753)</t>
  </si>
  <si>
    <t>Yates, James (117866)</t>
  </si>
  <si>
    <t>Yearout, Emily (116363)</t>
  </si>
  <si>
    <t>Yoder, Sarah A (118283)</t>
  </si>
  <si>
    <t>Zakowski, Mari R (117560)</t>
  </si>
  <si>
    <t>Zapata, Yohn (118167)</t>
  </si>
  <si>
    <t>Zaragoza, Alvaro (117552)</t>
  </si>
  <si>
    <t>Zarate, Juanpablo (118579)</t>
  </si>
  <si>
    <t>Zecker, Steven C (012199)</t>
  </si>
  <si>
    <t>Zoellner, David J (117558)</t>
  </si>
  <si>
    <t>Zumbaugh, Timothy J (118502)</t>
  </si>
  <si>
    <t>VP, Quality</t>
  </si>
  <si>
    <t>Zundel, John B (117619)</t>
  </si>
  <si>
    <t>Zundel, Mark D (001056)</t>
  </si>
  <si>
    <t>Chief Operating Officer</t>
  </si>
  <si>
    <t>New Salary</t>
  </si>
  <si>
    <t>Old Salary</t>
  </si>
  <si>
    <t>Bump</t>
  </si>
  <si>
    <t>President Medical</t>
  </si>
  <si>
    <t>Chief Enterprise Sales Officer</t>
  </si>
  <si>
    <t>Exited?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</si>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</sst>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5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0" fontId="0" fillId="33" borderId="0" xfId="0" applyFill="1"/>
    <xf numFmtId="15" fontId="0" fillId="33" borderId="0" xfId="0" applyNumberFormat="1" applyFill="1"/>
    <xf numFmtId="164" fontId="0" fillId="33" borderId="0" xfId="1" applyNumberFormat="1" applyFont="1" applyFill="1"/>
    <xf numFmtId="0" fontId="0" fillId="34" borderId="0" xfId="0" applyFill="1"/>
    <xf numFmtId="15" fontId="0" fillId="34" borderId="0" xfId="0" applyNumberFormat="1" applyFill="1"/>
    <xf numFmtId="164" fontId="0" fillId="34" borderId="0" xfId="1" applyNumberFormat="1" applyFont="1" applyFill="1"/>
    <xf numFmtId="0" fontId="0" fillId="35" borderId="0" xfId="0" applyFill="1"/>
    <xf numFmtId="15" fontId="0" fillId="35" borderId="0" xfId="0" applyNumberFormat="1" applyFill="1"/>
    <xf numFmtId="164" fontId="0" fillId="35" borderId="0" xfId="1" applyNumberFormat="1" applyFont="1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2"/>
  <sheetViews>
    <sheetView tabSelected="1" topLeftCell="A19" workbookViewId="0">
      <selection activeCell="A11" sqref="A11:K11"/>
    </sheetView>
  </sheetViews>
  <sheetFormatPr defaultRowHeight="15" x14ac:dyDescent="0.25"/>
  <cols>
    <col min="1" max="1" width="34.42578125" bestFit="1" customWidth="1"/>
    <col min="2" max="2" width="83.140625" hidden="1" customWidth="1"/>
    <col min="3" max="3" width="49" bestFit="1" customWidth="1"/>
    <col min="4" max="4" width="11.5703125" hidden="1" customWidth="1"/>
    <col min="5" max="5" width="15.85546875" hidden="1" customWidth="1"/>
    <col min="6" max="6" width="11" hidden="1" customWidth="1"/>
    <col min="7" max="7" width="49" hidden="1" customWidth="1"/>
    <col min="8" max="9" width="12" hidden="1" customWidth="1"/>
    <col min="10" max="10" width="5.140625" hidden="1" customWidth="1"/>
    <col min="11" max="11" width="12.5703125" style="2" bestFit="1" customWidth="1"/>
    <col min="12" max="12" width="12.5703125" style="2" hidden="1" customWidth="1"/>
    <col min="13" max="13" width="0" hidden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1054</v>
      </c>
      <c r="L1" s="2" t="s">
        <v>1055</v>
      </c>
      <c r="M1" t="s">
        <v>1056</v>
      </c>
      <c r="N1" t="s">
        <v>1059</v>
      </c>
    </row>
    <row r="2" spans="1:14" x14ac:dyDescent="0.25">
      <c r="A2" t="s">
        <v>948</v>
      </c>
      <c r="B2" t="s">
        <v>592</v>
      </c>
      <c r="C2" t="s">
        <v>949</v>
      </c>
      <c r="D2" t="s">
        <v>13</v>
      </c>
      <c r="E2" t="s">
        <v>14</v>
      </c>
      <c r="F2" s="1">
        <v>43913</v>
      </c>
      <c r="G2" t="s">
        <v>949</v>
      </c>
      <c r="H2">
        <v>42019.230816000003</v>
      </c>
      <c r="I2">
        <v>152</v>
      </c>
      <c r="J2">
        <v>0</v>
      </c>
      <c r="K2" s="2">
        <f t="shared" ref="K2:K65" si="0">(2080/I2)*H2</f>
        <v>575000.00063999998</v>
      </c>
      <c r="L2" s="2">
        <v>575000.00063999998</v>
      </c>
      <c r="M2" s="3">
        <f>IFERROR((K2/L2)-1,0)</f>
        <v>0</v>
      </c>
    </row>
    <row r="3" spans="1:14" x14ac:dyDescent="0.25">
      <c r="A3" t="s">
        <v>1052</v>
      </c>
      <c r="B3" t="s">
        <v>976</v>
      </c>
      <c r="C3" t="s">
        <v>1053</v>
      </c>
      <c r="D3" t="s">
        <v>13</v>
      </c>
      <c r="E3" t="s">
        <v>14</v>
      </c>
      <c r="F3" s="1">
        <v>35060</v>
      </c>
      <c r="G3" t="s">
        <v>1053</v>
      </c>
      <c r="H3">
        <v>33371.015407999999</v>
      </c>
      <c r="I3">
        <v>152</v>
      </c>
      <c r="J3">
        <v>0</v>
      </c>
      <c r="K3" s="2">
        <f t="shared" si="0"/>
        <v>456656.00031999999</v>
      </c>
      <c r="L3" s="2">
        <v>456656.00032000005</v>
      </c>
      <c r="M3" s="3">
        <f t="shared" ref="M3:M66" si="1">IFERROR((K3/L3)-1,0)</f>
        <v>-1.1102230246251565E-16</v>
      </c>
    </row>
    <row r="4" spans="1:14" x14ac:dyDescent="0.25">
      <c r="A4" t="s">
        <v>615</v>
      </c>
      <c r="B4" t="s">
        <v>59</v>
      </c>
      <c r="C4" t="s">
        <v>616</v>
      </c>
      <c r="D4" t="s">
        <v>13</v>
      </c>
      <c r="E4" t="s">
        <v>14</v>
      </c>
      <c r="F4" s="1">
        <v>44238</v>
      </c>
      <c r="G4" t="s">
        <v>616</v>
      </c>
      <c r="H4">
        <v>30400</v>
      </c>
      <c r="I4">
        <v>152</v>
      </c>
      <c r="J4">
        <v>0</v>
      </c>
      <c r="K4" s="2">
        <f t="shared" si="0"/>
        <v>416000</v>
      </c>
      <c r="L4" s="2">
        <v>416000</v>
      </c>
      <c r="M4" s="3">
        <f t="shared" si="1"/>
        <v>0</v>
      </c>
    </row>
    <row r="5" spans="1:14" x14ac:dyDescent="0.25">
      <c r="A5" t="s">
        <v>591</v>
      </c>
      <c r="B5" t="s">
        <v>592</v>
      </c>
      <c r="C5" t="s">
        <v>593</v>
      </c>
      <c r="D5" t="s">
        <v>13</v>
      </c>
      <c r="E5" t="s">
        <v>14</v>
      </c>
      <c r="F5" s="1">
        <v>45733</v>
      </c>
      <c r="G5" t="s">
        <v>1057</v>
      </c>
      <c r="H5">
        <v>27403.846224000001</v>
      </c>
      <c r="I5">
        <v>152</v>
      </c>
      <c r="J5">
        <v>0</v>
      </c>
      <c r="K5" s="2">
        <f t="shared" si="0"/>
        <v>375000.00096000003</v>
      </c>
      <c r="L5" s="2">
        <v>375000.00095999998</v>
      </c>
      <c r="M5" s="3">
        <f t="shared" si="1"/>
        <v>2.2204460492503131E-16</v>
      </c>
    </row>
    <row r="6" spans="1:14" x14ac:dyDescent="0.25">
      <c r="A6" t="s">
        <v>479</v>
      </c>
      <c r="B6" t="s">
        <v>480</v>
      </c>
      <c r="C6" t="s">
        <v>481</v>
      </c>
      <c r="D6" t="s">
        <v>13</v>
      </c>
      <c r="E6" t="s">
        <v>14</v>
      </c>
      <c r="F6" s="1">
        <v>42572</v>
      </c>
      <c r="G6" t="s">
        <v>1058</v>
      </c>
      <c r="H6">
        <v>26855.772224</v>
      </c>
      <c r="I6">
        <v>152</v>
      </c>
      <c r="J6">
        <v>0</v>
      </c>
      <c r="K6" s="2">
        <f t="shared" si="0"/>
        <v>367500.04096000001</v>
      </c>
      <c r="L6" s="2">
        <v>349999.93599999999</v>
      </c>
      <c r="M6" s="3">
        <f t="shared" si="1"/>
        <v>5.0000309028628065E-2</v>
      </c>
    </row>
    <row r="7" spans="1:14" x14ac:dyDescent="0.25">
      <c r="A7" t="s">
        <v>338</v>
      </c>
      <c r="B7" t="s">
        <v>254</v>
      </c>
      <c r="C7" t="s">
        <v>339</v>
      </c>
      <c r="D7" t="s">
        <v>13</v>
      </c>
      <c r="E7" t="s">
        <v>14</v>
      </c>
      <c r="F7" s="1">
        <v>45635</v>
      </c>
      <c r="G7" t="s">
        <v>339</v>
      </c>
      <c r="H7">
        <v>23750</v>
      </c>
      <c r="I7">
        <v>152</v>
      </c>
      <c r="J7">
        <v>0</v>
      </c>
      <c r="K7" s="2">
        <f t="shared" si="0"/>
        <v>325000</v>
      </c>
      <c r="L7" s="2">
        <v>325000</v>
      </c>
      <c r="M7" s="3">
        <f t="shared" si="1"/>
        <v>0</v>
      </c>
    </row>
    <row r="8" spans="1:14" x14ac:dyDescent="0.25">
      <c r="A8" t="s">
        <v>857</v>
      </c>
      <c r="B8" t="s">
        <v>858</v>
      </c>
      <c r="C8" t="s">
        <v>859</v>
      </c>
      <c r="D8" t="s">
        <v>13</v>
      </c>
      <c r="E8" t="s">
        <v>14</v>
      </c>
      <c r="F8" s="1">
        <v>42226</v>
      </c>
      <c r="G8" t="s">
        <v>859</v>
      </c>
      <c r="H8">
        <v>18000</v>
      </c>
      <c r="I8">
        <v>120</v>
      </c>
      <c r="J8">
        <v>0</v>
      </c>
      <c r="K8" s="2">
        <f t="shared" si="0"/>
        <v>312000</v>
      </c>
      <c r="L8" s="2">
        <v>312000</v>
      </c>
      <c r="M8" s="3">
        <f t="shared" si="1"/>
        <v>0</v>
      </c>
    </row>
    <row r="9" spans="1:14" x14ac:dyDescent="0.25">
      <c r="A9" t="s">
        <v>825</v>
      </c>
      <c r="B9" t="s">
        <v>94</v>
      </c>
      <c r="C9" t="s">
        <v>826</v>
      </c>
      <c r="D9" t="s">
        <v>13</v>
      </c>
      <c r="E9" t="s">
        <v>14</v>
      </c>
      <c r="F9" s="1">
        <v>43073</v>
      </c>
      <c r="G9" t="s">
        <v>826</v>
      </c>
      <c r="H9">
        <v>18875.660319999999</v>
      </c>
      <c r="I9">
        <v>136</v>
      </c>
      <c r="J9">
        <v>0</v>
      </c>
      <c r="K9" s="2">
        <f t="shared" si="0"/>
        <v>288686.56959999999</v>
      </c>
      <c r="L9" s="2">
        <v>280278.57104000001</v>
      </c>
      <c r="M9" s="3">
        <f t="shared" si="1"/>
        <v>2.9998720661380984E-2</v>
      </c>
    </row>
    <row r="10" spans="1:14" x14ac:dyDescent="0.25">
      <c r="A10" t="s">
        <v>864</v>
      </c>
      <c r="B10" t="s">
        <v>588</v>
      </c>
      <c r="C10" t="s">
        <v>865</v>
      </c>
      <c r="D10" t="s">
        <v>13</v>
      </c>
      <c r="E10" t="s">
        <v>14</v>
      </c>
      <c r="F10" s="1">
        <v>39315</v>
      </c>
      <c r="G10" t="s">
        <v>865</v>
      </c>
      <c r="H10">
        <v>16377</v>
      </c>
      <c r="I10">
        <v>120</v>
      </c>
      <c r="J10">
        <v>0</v>
      </c>
      <c r="K10" s="2">
        <f t="shared" si="0"/>
        <v>283868</v>
      </c>
      <c r="L10" s="2">
        <v>275600</v>
      </c>
      <c r="M10" s="3">
        <f t="shared" si="1"/>
        <v>3.0000000000000027E-2</v>
      </c>
    </row>
    <row r="11" spans="1:14" x14ac:dyDescent="0.25">
      <c r="A11" s="10" t="s">
        <v>224</v>
      </c>
      <c r="B11" s="10" t="s">
        <v>148</v>
      </c>
      <c r="C11" s="10" t="s">
        <v>225</v>
      </c>
      <c r="D11" s="10" t="s">
        <v>13</v>
      </c>
      <c r="E11" s="10" t="s">
        <v>14</v>
      </c>
      <c r="F11" s="11">
        <v>39650</v>
      </c>
      <c r="G11" s="10" t="s">
        <v>225</v>
      </c>
      <c r="H11" s="10">
        <v>16038.48648</v>
      </c>
      <c r="I11" s="10">
        <v>120</v>
      </c>
      <c r="J11" s="10">
        <v>0</v>
      </c>
      <c r="K11" s="12">
        <f t="shared" si="0"/>
        <v>278000.43231999996</v>
      </c>
      <c r="L11" s="2">
        <v>278000.43232000002</v>
      </c>
      <c r="M11" s="3">
        <f t="shared" si="1"/>
        <v>-2.2204460492503131E-16</v>
      </c>
    </row>
    <row r="12" spans="1:14" x14ac:dyDescent="0.25">
      <c r="A12" t="s">
        <v>795</v>
      </c>
      <c r="B12" t="s">
        <v>579</v>
      </c>
      <c r="C12" t="s">
        <v>796</v>
      </c>
      <c r="D12" t="s">
        <v>13</v>
      </c>
      <c r="E12" t="s">
        <v>14</v>
      </c>
      <c r="F12" s="1">
        <v>43451</v>
      </c>
      <c r="G12" t="s">
        <v>796</v>
      </c>
      <c r="H12">
        <v>19730.769184000001</v>
      </c>
      <c r="I12">
        <v>152</v>
      </c>
      <c r="J12">
        <v>0</v>
      </c>
      <c r="K12" s="2">
        <f t="shared" si="0"/>
        <v>269999.99936000002</v>
      </c>
      <c r="L12" s="2">
        <v>269999.99936000002</v>
      </c>
      <c r="M12" s="3">
        <f t="shared" si="1"/>
        <v>0</v>
      </c>
    </row>
    <row r="13" spans="1:14" x14ac:dyDescent="0.25">
      <c r="A13" t="s">
        <v>448</v>
      </c>
      <c r="B13" t="s">
        <v>449</v>
      </c>
      <c r="C13" t="s">
        <v>450</v>
      </c>
      <c r="D13" t="s">
        <v>13</v>
      </c>
      <c r="E13" t="s">
        <v>14</v>
      </c>
      <c r="F13" s="1">
        <v>43199</v>
      </c>
      <c r="G13" t="s">
        <v>450</v>
      </c>
      <c r="H13">
        <v>19702.853776</v>
      </c>
      <c r="I13">
        <v>152</v>
      </c>
      <c r="J13">
        <v>0</v>
      </c>
      <c r="K13" s="2">
        <f t="shared" si="0"/>
        <v>269617.99904000002</v>
      </c>
      <c r="L13" s="2">
        <v>269617.99904000002</v>
      </c>
      <c r="M13" s="3">
        <f t="shared" si="1"/>
        <v>0</v>
      </c>
    </row>
    <row r="14" spans="1:14" x14ac:dyDescent="0.25">
      <c r="A14" t="s">
        <v>940</v>
      </c>
      <c r="B14" t="s">
        <v>941</v>
      </c>
      <c r="C14" t="s">
        <v>942</v>
      </c>
      <c r="D14" t="s">
        <v>13</v>
      </c>
      <c r="E14" t="s">
        <v>14</v>
      </c>
      <c r="F14" s="1">
        <v>38810</v>
      </c>
      <c r="G14" t="s">
        <v>942</v>
      </c>
      <c r="H14">
        <v>16511.545440000002</v>
      </c>
      <c r="I14">
        <v>144</v>
      </c>
      <c r="J14">
        <v>0</v>
      </c>
      <c r="K14" s="2">
        <f t="shared" si="0"/>
        <v>238500.10080000001</v>
      </c>
      <c r="L14" s="2">
        <v>225000.04800000001</v>
      </c>
      <c r="M14" s="3">
        <f t="shared" si="1"/>
        <v>6.0000221866619352E-2</v>
      </c>
      <c r="N14" t="s">
        <v>1060</v>
      </c>
    </row>
    <row r="15" spans="1:14" x14ac:dyDescent="0.25">
      <c r="A15" t="s">
        <v>501</v>
      </c>
      <c r="B15" t="s">
        <v>118</v>
      </c>
      <c r="C15" t="s">
        <v>502</v>
      </c>
      <c r="D15" t="s">
        <v>13</v>
      </c>
      <c r="E15" t="s">
        <v>14</v>
      </c>
      <c r="F15" s="1">
        <v>43325</v>
      </c>
      <c r="G15" t="s">
        <v>502</v>
      </c>
      <c r="H15">
        <v>16284.894174999999</v>
      </c>
      <c r="I15">
        <v>145</v>
      </c>
      <c r="J15">
        <v>0</v>
      </c>
      <c r="K15" s="2">
        <f t="shared" si="0"/>
        <v>233603.99919999999</v>
      </c>
      <c r="L15" s="2">
        <v>226800.00096</v>
      </c>
      <c r="M15" s="3">
        <f t="shared" si="1"/>
        <v>2.9999992112874851E-2</v>
      </c>
    </row>
    <row r="16" spans="1:14" x14ac:dyDescent="0.25">
      <c r="A16" t="s">
        <v>823</v>
      </c>
      <c r="B16" t="s">
        <v>94</v>
      </c>
      <c r="C16" t="s">
        <v>824</v>
      </c>
      <c r="D16" t="s">
        <v>13</v>
      </c>
      <c r="E16" t="s">
        <v>14</v>
      </c>
      <c r="F16" s="1">
        <v>36164</v>
      </c>
      <c r="G16" t="s">
        <v>824</v>
      </c>
      <c r="H16">
        <v>14707.211508</v>
      </c>
      <c r="I16">
        <v>132</v>
      </c>
      <c r="J16">
        <v>0</v>
      </c>
      <c r="K16" s="2">
        <f t="shared" si="0"/>
        <v>231749.99952000001</v>
      </c>
      <c r="L16" s="2">
        <v>225000.00016000003</v>
      </c>
      <c r="M16" s="3">
        <f t="shared" si="1"/>
        <v>2.9999997134222189E-2</v>
      </c>
    </row>
    <row r="17" spans="1:13" x14ac:dyDescent="0.25">
      <c r="A17" t="s">
        <v>645</v>
      </c>
      <c r="B17" t="s">
        <v>646</v>
      </c>
      <c r="C17" t="s">
        <v>647</v>
      </c>
      <c r="D17" t="s">
        <v>13</v>
      </c>
      <c r="E17" t="s">
        <v>14</v>
      </c>
      <c r="F17" s="1">
        <v>42380</v>
      </c>
      <c r="G17" t="s">
        <v>647</v>
      </c>
      <c r="H17">
        <v>16853.372704000001</v>
      </c>
      <c r="I17">
        <v>152</v>
      </c>
      <c r="J17">
        <v>0</v>
      </c>
      <c r="K17" s="2">
        <f t="shared" si="0"/>
        <v>230625.10016</v>
      </c>
      <c r="L17" s="2">
        <v>225000.04800000001</v>
      </c>
      <c r="M17" s="3">
        <f t="shared" si="1"/>
        <v>2.5000226488840482E-2</v>
      </c>
    </row>
    <row r="18" spans="1:13" x14ac:dyDescent="0.25">
      <c r="A18" t="s">
        <v>581</v>
      </c>
      <c r="B18" t="s">
        <v>59</v>
      </c>
      <c r="C18" t="s">
        <v>582</v>
      </c>
      <c r="D18" t="s">
        <v>13</v>
      </c>
      <c r="E18" t="s">
        <v>14</v>
      </c>
      <c r="F18" s="1">
        <v>45600</v>
      </c>
      <c r="G18" t="s">
        <v>582</v>
      </c>
      <c r="H18">
        <v>12115.384624</v>
      </c>
      <c r="I18">
        <v>112</v>
      </c>
      <c r="J18">
        <v>0</v>
      </c>
      <c r="K18" s="2">
        <f t="shared" si="0"/>
        <v>225000.00016000003</v>
      </c>
      <c r="L18" s="2">
        <v>225000.00016</v>
      </c>
      <c r="M18" s="3">
        <f t="shared" si="1"/>
        <v>2.2204460492503131E-16</v>
      </c>
    </row>
    <row r="19" spans="1:13" x14ac:dyDescent="0.25">
      <c r="A19" t="s">
        <v>314</v>
      </c>
      <c r="B19" t="s">
        <v>315</v>
      </c>
      <c r="C19" t="s">
        <v>316</v>
      </c>
      <c r="D19" t="s">
        <v>13</v>
      </c>
      <c r="E19" t="s">
        <v>14</v>
      </c>
      <c r="F19" s="1">
        <v>42324</v>
      </c>
      <c r="G19" t="s">
        <v>316</v>
      </c>
      <c r="H19">
        <v>12490.72272</v>
      </c>
      <c r="I19">
        <v>120</v>
      </c>
      <c r="J19">
        <v>0</v>
      </c>
      <c r="K19" s="2">
        <f t="shared" si="0"/>
        <v>216505.86047999997</v>
      </c>
      <c r="L19" s="2">
        <v>210199.80800000002</v>
      </c>
      <c r="M19" s="3">
        <f t="shared" si="1"/>
        <v>3.0000277069710535E-2</v>
      </c>
    </row>
    <row r="20" spans="1:13" x14ac:dyDescent="0.25">
      <c r="A20" t="s">
        <v>853</v>
      </c>
      <c r="B20" t="s">
        <v>854</v>
      </c>
      <c r="C20" t="s">
        <v>612</v>
      </c>
      <c r="D20" t="s">
        <v>13</v>
      </c>
      <c r="E20" t="s">
        <v>14</v>
      </c>
      <c r="F20" s="1">
        <v>40112</v>
      </c>
      <c r="G20" t="s">
        <v>612</v>
      </c>
      <c r="H20">
        <v>13230.76928</v>
      </c>
      <c r="I20">
        <v>128</v>
      </c>
      <c r="J20">
        <v>0</v>
      </c>
      <c r="K20" s="2">
        <f t="shared" si="0"/>
        <v>215000.00080000001</v>
      </c>
      <c r="L20" s="2">
        <v>215000.00080000001</v>
      </c>
      <c r="M20" s="3">
        <f t="shared" si="1"/>
        <v>0</v>
      </c>
    </row>
    <row r="21" spans="1:13" x14ac:dyDescent="0.25">
      <c r="A21" t="s">
        <v>971</v>
      </c>
      <c r="B21" t="s">
        <v>74</v>
      </c>
      <c r="C21" t="s">
        <v>972</v>
      </c>
      <c r="D21" t="s">
        <v>13</v>
      </c>
      <c r="E21" t="s">
        <v>14</v>
      </c>
      <c r="F21" s="1">
        <v>45663</v>
      </c>
      <c r="G21" t="s">
        <v>972</v>
      </c>
      <c r="H21">
        <v>15711.53852</v>
      </c>
      <c r="I21">
        <v>152</v>
      </c>
      <c r="J21">
        <v>0</v>
      </c>
      <c r="K21" s="2">
        <f t="shared" si="0"/>
        <v>215000.00080000001</v>
      </c>
      <c r="L21" s="2">
        <v>215000.00080000001</v>
      </c>
      <c r="M21" s="3">
        <f t="shared" si="1"/>
        <v>0</v>
      </c>
    </row>
    <row r="22" spans="1:13" x14ac:dyDescent="0.25">
      <c r="A22" t="s">
        <v>1049</v>
      </c>
      <c r="B22" t="s">
        <v>858</v>
      </c>
      <c r="C22" t="s">
        <v>1050</v>
      </c>
      <c r="D22" t="s">
        <v>13</v>
      </c>
      <c r="E22" t="s">
        <v>14</v>
      </c>
      <c r="F22" s="1">
        <v>42366</v>
      </c>
      <c r="G22" t="s">
        <v>1050</v>
      </c>
      <c r="H22">
        <v>15638.465888000001</v>
      </c>
      <c r="I22">
        <v>152</v>
      </c>
      <c r="J22">
        <v>0</v>
      </c>
      <c r="K22" s="2">
        <f t="shared" si="0"/>
        <v>214000.05952000001</v>
      </c>
      <c r="L22" s="2">
        <v>207800.11200000002</v>
      </c>
      <c r="M22" s="3">
        <f t="shared" si="1"/>
        <v>2.9836112504116441E-2</v>
      </c>
    </row>
    <row r="23" spans="1:13" x14ac:dyDescent="0.25">
      <c r="A23" t="s">
        <v>878</v>
      </c>
      <c r="B23" t="s">
        <v>879</v>
      </c>
      <c r="C23" t="s">
        <v>880</v>
      </c>
      <c r="D23" t="s">
        <v>13</v>
      </c>
      <c r="E23" t="s">
        <v>14</v>
      </c>
      <c r="F23" s="1">
        <v>30412</v>
      </c>
      <c r="G23" t="s">
        <v>880</v>
      </c>
      <c r="H23">
        <v>12084.98076</v>
      </c>
      <c r="I23">
        <v>120</v>
      </c>
      <c r="J23">
        <v>0</v>
      </c>
      <c r="K23" s="2">
        <f t="shared" si="0"/>
        <v>209472.99984</v>
      </c>
      <c r="L23" s="2">
        <v>203372</v>
      </c>
      <c r="M23" s="3">
        <f t="shared" si="1"/>
        <v>2.9999212477627157E-2</v>
      </c>
    </row>
    <row r="24" spans="1:13" x14ac:dyDescent="0.25">
      <c r="A24" t="s">
        <v>126</v>
      </c>
      <c r="B24" t="s">
        <v>127</v>
      </c>
      <c r="C24" t="s">
        <v>128</v>
      </c>
      <c r="D24" t="s">
        <v>13</v>
      </c>
      <c r="E24" t="s">
        <v>14</v>
      </c>
      <c r="F24" s="1">
        <v>38796</v>
      </c>
      <c r="G24" t="s">
        <v>128</v>
      </c>
      <c r="H24">
        <v>15172.577832000001</v>
      </c>
      <c r="I24">
        <v>152</v>
      </c>
      <c r="J24">
        <v>0</v>
      </c>
      <c r="K24" s="2">
        <f t="shared" si="0"/>
        <v>207624.74928000002</v>
      </c>
      <c r="L24" s="2">
        <v>207624.74928000002</v>
      </c>
      <c r="M24" s="3">
        <f t="shared" si="1"/>
        <v>0</v>
      </c>
    </row>
    <row r="25" spans="1:13" x14ac:dyDescent="0.25">
      <c r="A25" t="s">
        <v>756</v>
      </c>
      <c r="B25" t="s">
        <v>757</v>
      </c>
      <c r="C25" t="s">
        <v>758</v>
      </c>
      <c r="D25" t="s">
        <v>13</v>
      </c>
      <c r="E25" t="s">
        <v>14</v>
      </c>
      <c r="F25" s="1">
        <v>32111</v>
      </c>
      <c r="G25" t="s">
        <v>758</v>
      </c>
      <c r="H25">
        <v>12982.311528</v>
      </c>
      <c r="I25">
        <v>136</v>
      </c>
      <c r="J25">
        <v>0</v>
      </c>
      <c r="K25" s="2">
        <f t="shared" si="0"/>
        <v>198552.99984</v>
      </c>
      <c r="L25" s="2">
        <v>192770.00080000001</v>
      </c>
      <c r="M25" s="3">
        <f t="shared" si="1"/>
        <v>2.9999476142555492E-2</v>
      </c>
    </row>
    <row r="26" spans="1:13" x14ac:dyDescent="0.25">
      <c r="A26" t="s">
        <v>48</v>
      </c>
      <c r="B26" t="s">
        <v>46</v>
      </c>
      <c r="C26" t="s">
        <v>49</v>
      </c>
      <c r="D26" t="s">
        <v>13</v>
      </c>
      <c r="E26" t="s">
        <v>14</v>
      </c>
      <c r="F26" s="1">
        <v>41435</v>
      </c>
      <c r="G26" t="s">
        <v>49</v>
      </c>
      <c r="H26">
        <v>14250</v>
      </c>
      <c r="I26">
        <v>152</v>
      </c>
      <c r="J26">
        <v>0</v>
      </c>
      <c r="K26" s="2">
        <f t="shared" si="0"/>
        <v>195000</v>
      </c>
      <c r="L26" s="2">
        <v>182512.09599999999</v>
      </c>
      <c r="M26" s="3">
        <f t="shared" si="1"/>
        <v>6.8422336237922599E-2</v>
      </c>
    </row>
    <row r="27" spans="1:13" x14ac:dyDescent="0.25">
      <c r="A27" t="s">
        <v>791</v>
      </c>
      <c r="B27" t="s">
        <v>449</v>
      </c>
      <c r="C27" t="s">
        <v>792</v>
      </c>
      <c r="D27" t="s">
        <v>13</v>
      </c>
      <c r="E27" t="s">
        <v>14</v>
      </c>
      <c r="F27" s="1">
        <v>44522</v>
      </c>
      <c r="G27" t="s">
        <v>792</v>
      </c>
      <c r="H27">
        <v>13884.615408</v>
      </c>
      <c r="I27">
        <v>152</v>
      </c>
      <c r="J27">
        <v>0</v>
      </c>
      <c r="K27" s="2">
        <f t="shared" si="0"/>
        <v>190000.00031999999</v>
      </c>
      <c r="L27" s="2">
        <v>190000.00031999999</v>
      </c>
      <c r="M27" s="3">
        <f t="shared" si="1"/>
        <v>0</v>
      </c>
    </row>
    <row r="28" spans="1:13" x14ac:dyDescent="0.25">
      <c r="A28" t="s">
        <v>889</v>
      </c>
      <c r="B28" t="s">
        <v>74</v>
      </c>
      <c r="C28" t="s">
        <v>890</v>
      </c>
      <c r="D28" t="s">
        <v>13</v>
      </c>
      <c r="E28" t="s">
        <v>14</v>
      </c>
      <c r="F28" s="1">
        <v>45427</v>
      </c>
      <c r="G28" t="s">
        <v>890</v>
      </c>
      <c r="H28">
        <v>13862.692295999999</v>
      </c>
      <c r="I28">
        <v>152</v>
      </c>
      <c r="J28">
        <v>0</v>
      </c>
      <c r="K28" s="2">
        <f t="shared" si="0"/>
        <v>189699.99983999997</v>
      </c>
      <c r="L28" s="2">
        <v>185000.00064000001</v>
      </c>
      <c r="M28" s="3">
        <f t="shared" si="1"/>
        <v>2.5405400993191884E-2</v>
      </c>
    </row>
    <row r="29" spans="1:13" x14ac:dyDescent="0.25">
      <c r="A29" t="s">
        <v>478</v>
      </c>
      <c r="B29" t="s">
        <v>201</v>
      </c>
      <c r="C29" t="s">
        <v>202</v>
      </c>
      <c r="D29" t="s">
        <v>13</v>
      </c>
      <c r="E29" t="s">
        <v>14</v>
      </c>
      <c r="F29" s="1">
        <v>43773</v>
      </c>
      <c r="G29" t="s">
        <v>202</v>
      </c>
      <c r="H29">
        <v>13700.169184</v>
      </c>
      <c r="I29">
        <v>152</v>
      </c>
      <c r="J29">
        <v>0</v>
      </c>
      <c r="K29" s="2">
        <f t="shared" si="0"/>
        <v>187475.99936000002</v>
      </c>
      <c r="L29" s="2">
        <v>187475.99936000002</v>
      </c>
      <c r="M29" s="3">
        <f t="shared" si="1"/>
        <v>0</v>
      </c>
    </row>
    <row r="30" spans="1:13" x14ac:dyDescent="0.25">
      <c r="A30" s="7" t="s">
        <v>383</v>
      </c>
      <c r="B30" s="7" t="s">
        <v>148</v>
      </c>
      <c r="C30" s="7" t="s">
        <v>285</v>
      </c>
      <c r="D30" s="7" t="s">
        <v>13</v>
      </c>
      <c r="E30" s="7" t="s">
        <v>14</v>
      </c>
      <c r="F30" s="8">
        <v>45231</v>
      </c>
      <c r="G30" s="7" t="s">
        <v>285</v>
      </c>
      <c r="H30" s="7">
        <v>12654.069264</v>
      </c>
      <c r="I30" s="7">
        <v>144</v>
      </c>
      <c r="J30" s="7">
        <v>0</v>
      </c>
      <c r="K30" s="9">
        <f t="shared" si="0"/>
        <v>182781.00047999999</v>
      </c>
      <c r="L30" s="2">
        <v>177889.00064000001</v>
      </c>
      <c r="M30" s="3">
        <f t="shared" si="1"/>
        <v>2.750029412948396E-2</v>
      </c>
    </row>
    <row r="31" spans="1:13" x14ac:dyDescent="0.25">
      <c r="A31" t="s">
        <v>933</v>
      </c>
      <c r="B31" t="s">
        <v>380</v>
      </c>
      <c r="C31" t="s">
        <v>82</v>
      </c>
      <c r="D31" t="s">
        <v>13</v>
      </c>
      <c r="E31" t="s">
        <v>14</v>
      </c>
      <c r="F31" s="1">
        <v>44844</v>
      </c>
      <c r="G31" t="s">
        <v>82</v>
      </c>
      <c r="H31">
        <v>11098.646144</v>
      </c>
      <c r="I31">
        <v>128</v>
      </c>
      <c r="J31">
        <v>0</v>
      </c>
      <c r="K31" s="2">
        <f t="shared" si="0"/>
        <v>180352.99984</v>
      </c>
      <c r="L31" s="2">
        <v>175099.99936000002</v>
      </c>
      <c r="M31" s="3">
        <f t="shared" si="1"/>
        <v>3.0000002850942176E-2</v>
      </c>
    </row>
    <row r="32" spans="1:13" x14ac:dyDescent="0.25">
      <c r="A32" t="s">
        <v>610</v>
      </c>
      <c r="B32" t="s">
        <v>611</v>
      </c>
      <c r="C32" t="s">
        <v>612</v>
      </c>
      <c r="D32" t="s">
        <v>13</v>
      </c>
      <c r="E32" t="s">
        <v>14</v>
      </c>
      <c r="F32" s="1">
        <v>40119</v>
      </c>
      <c r="G32" t="s">
        <v>612</v>
      </c>
      <c r="H32">
        <v>13153.846224000001</v>
      </c>
      <c r="I32">
        <v>152</v>
      </c>
      <c r="J32">
        <v>0</v>
      </c>
      <c r="K32" s="2">
        <f t="shared" si="0"/>
        <v>180000.00096</v>
      </c>
      <c r="L32" s="2">
        <v>180000.00096</v>
      </c>
      <c r="M32" s="3">
        <f t="shared" si="1"/>
        <v>0</v>
      </c>
    </row>
    <row r="33" spans="1:14" x14ac:dyDescent="0.25">
      <c r="A33" t="s">
        <v>768</v>
      </c>
      <c r="B33" t="s">
        <v>218</v>
      </c>
      <c r="C33" t="s">
        <v>612</v>
      </c>
      <c r="D33" t="s">
        <v>13</v>
      </c>
      <c r="E33" t="s">
        <v>14</v>
      </c>
      <c r="F33" s="1">
        <v>40189</v>
      </c>
      <c r="G33" t="s">
        <v>612</v>
      </c>
      <c r="H33">
        <v>13153.846224000001</v>
      </c>
      <c r="I33">
        <v>152</v>
      </c>
      <c r="J33">
        <v>0</v>
      </c>
      <c r="K33" s="2">
        <f t="shared" si="0"/>
        <v>180000.00096</v>
      </c>
      <c r="L33" s="2">
        <v>180000.00096</v>
      </c>
      <c r="M33" s="3">
        <f t="shared" si="1"/>
        <v>0</v>
      </c>
    </row>
    <row r="34" spans="1:14" x14ac:dyDescent="0.25">
      <c r="A34" t="s">
        <v>1017</v>
      </c>
      <c r="B34" t="s">
        <v>94</v>
      </c>
      <c r="C34" t="s">
        <v>1018</v>
      </c>
      <c r="D34" t="s">
        <v>13</v>
      </c>
      <c r="E34" t="s">
        <v>14</v>
      </c>
      <c r="F34" s="1">
        <v>45007</v>
      </c>
      <c r="G34" t="s">
        <v>1018</v>
      </c>
      <c r="H34">
        <v>12328.618896</v>
      </c>
      <c r="I34">
        <v>144</v>
      </c>
      <c r="J34">
        <v>0</v>
      </c>
      <c r="K34" s="2">
        <f t="shared" si="0"/>
        <v>178080.05072</v>
      </c>
      <c r="L34" s="2">
        <v>169600.05088</v>
      </c>
      <c r="M34" s="3">
        <f t="shared" si="1"/>
        <v>4.9999984056608548E-2</v>
      </c>
    </row>
    <row r="35" spans="1:14" x14ac:dyDescent="0.25">
      <c r="A35" t="s">
        <v>653</v>
      </c>
      <c r="B35" t="s">
        <v>182</v>
      </c>
      <c r="C35" t="s">
        <v>654</v>
      </c>
      <c r="D35" t="s">
        <v>13</v>
      </c>
      <c r="E35" t="s">
        <v>14</v>
      </c>
      <c r="F35" s="1">
        <v>44424</v>
      </c>
      <c r="G35" t="s">
        <v>654</v>
      </c>
      <c r="H35">
        <v>12914.373111999999</v>
      </c>
      <c r="I35">
        <v>152</v>
      </c>
      <c r="J35">
        <v>0</v>
      </c>
      <c r="K35" s="2">
        <f t="shared" si="0"/>
        <v>176723.00047999999</v>
      </c>
      <c r="L35" s="2">
        <v>170747.00032000002</v>
      </c>
      <c r="M35" s="3">
        <f t="shared" si="1"/>
        <v>3.4999151661816885E-2</v>
      </c>
    </row>
    <row r="36" spans="1:14" x14ac:dyDescent="0.25">
      <c r="A36" t="s">
        <v>744</v>
      </c>
      <c r="B36" t="s">
        <v>745</v>
      </c>
      <c r="C36" t="s">
        <v>746</v>
      </c>
      <c r="D36" t="s">
        <v>13</v>
      </c>
      <c r="E36" t="s">
        <v>14</v>
      </c>
      <c r="F36" s="1">
        <v>42646</v>
      </c>
      <c r="G36" t="s">
        <v>746</v>
      </c>
      <c r="H36">
        <v>9479.4</v>
      </c>
      <c r="I36">
        <v>112</v>
      </c>
      <c r="J36">
        <v>0</v>
      </c>
      <c r="K36" s="2">
        <f t="shared" si="0"/>
        <v>176046</v>
      </c>
      <c r="L36" s="2">
        <v>170917.99920000002</v>
      </c>
      <c r="M36" s="3">
        <f t="shared" si="1"/>
        <v>3.0002696170105869E-2</v>
      </c>
    </row>
    <row r="37" spans="1:14" x14ac:dyDescent="0.25">
      <c r="A37" t="s">
        <v>839</v>
      </c>
      <c r="B37" t="s">
        <v>254</v>
      </c>
      <c r="C37" t="s">
        <v>840</v>
      </c>
      <c r="D37" t="s">
        <v>13</v>
      </c>
      <c r="E37" t="s">
        <v>14</v>
      </c>
      <c r="F37" s="1">
        <v>45782</v>
      </c>
      <c r="G37" t="s">
        <v>840</v>
      </c>
      <c r="H37">
        <v>12115.38456</v>
      </c>
      <c r="I37">
        <v>144</v>
      </c>
      <c r="J37">
        <v>0</v>
      </c>
      <c r="K37" s="2">
        <f t="shared" si="0"/>
        <v>174999.99920000002</v>
      </c>
      <c r="L37" s="2">
        <v>174999.99919999999</v>
      </c>
      <c r="M37" s="3">
        <f t="shared" si="1"/>
        <v>2.2204460492503131E-16</v>
      </c>
    </row>
    <row r="38" spans="1:14" x14ac:dyDescent="0.25">
      <c r="A38" t="s">
        <v>739</v>
      </c>
      <c r="B38" t="s">
        <v>25</v>
      </c>
      <c r="C38" t="s">
        <v>740</v>
      </c>
      <c r="D38" t="s">
        <v>13</v>
      </c>
      <c r="E38" t="s">
        <v>14</v>
      </c>
      <c r="F38" s="1">
        <v>35380</v>
      </c>
      <c r="G38" t="s">
        <v>740</v>
      </c>
      <c r="H38">
        <v>12702.485112</v>
      </c>
      <c r="I38">
        <v>152</v>
      </c>
      <c r="J38">
        <v>0</v>
      </c>
      <c r="K38" s="2">
        <f t="shared" si="0"/>
        <v>173823.48048</v>
      </c>
      <c r="L38" s="2">
        <v>167621.37599999999</v>
      </c>
      <c r="M38" s="3">
        <f t="shared" si="1"/>
        <v>3.7000677526952241E-2</v>
      </c>
    </row>
    <row r="39" spans="1:14" x14ac:dyDescent="0.25">
      <c r="A39" t="s">
        <v>729</v>
      </c>
      <c r="B39" t="s">
        <v>730</v>
      </c>
      <c r="C39" t="s">
        <v>322</v>
      </c>
      <c r="D39" t="s">
        <v>13</v>
      </c>
      <c r="E39" t="s">
        <v>14</v>
      </c>
      <c r="F39" s="1">
        <v>44447</v>
      </c>
      <c r="G39" t="s">
        <v>322</v>
      </c>
      <c r="H39">
        <v>12423.076888</v>
      </c>
      <c r="I39">
        <v>152</v>
      </c>
      <c r="J39">
        <v>0</v>
      </c>
      <c r="K39" s="2">
        <f t="shared" si="0"/>
        <v>169999.99951999998</v>
      </c>
      <c r="L39" s="2">
        <v>169999.99952000001</v>
      </c>
      <c r="M39" s="3">
        <f t="shared" si="1"/>
        <v>-2.2204460492503131E-16</v>
      </c>
      <c r="N39" t="s">
        <v>1060</v>
      </c>
    </row>
    <row r="40" spans="1:14" x14ac:dyDescent="0.25">
      <c r="A40" t="s">
        <v>809</v>
      </c>
      <c r="B40" t="s">
        <v>201</v>
      </c>
      <c r="C40" t="s">
        <v>647</v>
      </c>
      <c r="D40" t="s">
        <v>13</v>
      </c>
      <c r="E40" t="s">
        <v>14</v>
      </c>
      <c r="F40" s="1">
        <v>42926</v>
      </c>
      <c r="G40" t="s">
        <v>647</v>
      </c>
      <c r="H40">
        <v>12423.076888</v>
      </c>
      <c r="I40">
        <v>152</v>
      </c>
      <c r="J40">
        <v>0</v>
      </c>
      <c r="K40" s="2">
        <f t="shared" si="0"/>
        <v>169999.99951999998</v>
      </c>
      <c r="L40" s="2">
        <v>169999.99951999998</v>
      </c>
      <c r="M40" s="3">
        <f t="shared" si="1"/>
        <v>0</v>
      </c>
    </row>
    <row r="41" spans="1:14" x14ac:dyDescent="0.25">
      <c r="A41" t="s">
        <v>1028</v>
      </c>
      <c r="B41" t="s">
        <v>148</v>
      </c>
      <c r="C41" t="s">
        <v>1029</v>
      </c>
      <c r="D41" t="s">
        <v>13</v>
      </c>
      <c r="E41" t="s">
        <v>14</v>
      </c>
      <c r="F41" s="1">
        <v>42905</v>
      </c>
      <c r="G41" t="s">
        <v>1029</v>
      </c>
      <c r="H41">
        <v>9836.5384520000007</v>
      </c>
      <c r="I41">
        <v>124</v>
      </c>
      <c r="J41">
        <v>0</v>
      </c>
      <c r="K41" s="2">
        <f t="shared" si="0"/>
        <v>164999.99984</v>
      </c>
      <c r="L41" s="2">
        <v>158134.00096</v>
      </c>
      <c r="M41" s="3">
        <f t="shared" si="1"/>
        <v>4.3418865255529404E-2</v>
      </c>
    </row>
    <row r="42" spans="1:14" x14ac:dyDescent="0.25">
      <c r="A42" t="s">
        <v>413</v>
      </c>
      <c r="B42" t="s">
        <v>414</v>
      </c>
      <c r="C42" t="s">
        <v>49</v>
      </c>
      <c r="D42" t="s">
        <v>13</v>
      </c>
      <c r="E42" t="s">
        <v>14</v>
      </c>
      <c r="F42" s="1">
        <v>31789</v>
      </c>
      <c r="G42" t="s">
        <v>49</v>
      </c>
      <c r="H42">
        <v>12057.692295999999</v>
      </c>
      <c r="I42">
        <v>152</v>
      </c>
      <c r="J42">
        <v>0</v>
      </c>
      <c r="K42" s="2">
        <f t="shared" si="0"/>
        <v>164999.99983999997</v>
      </c>
      <c r="L42" s="2">
        <v>153304.36992</v>
      </c>
      <c r="M42" s="3">
        <f t="shared" si="1"/>
        <v>7.6290257910476944E-2</v>
      </c>
    </row>
    <row r="43" spans="1:14" x14ac:dyDescent="0.25">
      <c r="A43" t="s">
        <v>642</v>
      </c>
      <c r="B43" t="s">
        <v>74</v>
      </c>
      <c r="C43" t="s">
        <v>643</v>
      </c>
      <c r="D43" t="s">
        <v>13</v>
      </c>
      <c r="E43" t="s">
        <v>14</v>
      </c>
      <c r="F43" s="1">
        <v>41934</v>
      </c>
      <c r="G43" t="s">
        <v>643</v>
      </c>
      <c r="H43">
        <v>10217.307672000001</v>
      </c>
      <c r="I43">
        <v>132</v>
      </c>
      <c r="J43">
        <v>0</v>
      </c>
      <c r="K43" s="2">
        <f t="shared" si="0"/>
        <v>160999.99968000001</v>
      </c>
      <c r="L43" s="2">
        <v>156266.99919999999</v>
      </c>
      <c r="M43" s="3">
        <f t="shared" si="1"/>
        <v>3.0287907902694311E-2</v>
      </c>
    </row>
    <row r="44" spans="1:14" x14ac:dyDescent="0.25">
      <c r="A44" t="s">
        <v>469</v>
      </c>
      <c r="B44" t="s">
        <v>303</v>
      </c>
      <c r="C44" t="s">
        <v>49</v>
      </c>
      <c r="D44" t="s">
        <v>13</v>
      </c>
      <c r="E44" t="s">
        <v>14</v>
      </c>
      <c r="F44" s="1">
        <v>38596</v>
      </c>
      <c r="G44" t="s">
        <v>49</v>
      </c>
      <c r="H44">
        <v>11475.228295999999</v>
      </c>
      <c r="I44">
        <v>152</v>
      </c>
      <c r="J44">
        <v>0</v>
      </c>
      <c r="K44" s="2">
        <f t="shared" si="0"/>
        <v>157029.43983999998</v>
      </c>
      <c r="L44" s="2">
        <v>157029.43984000001</v>
      </c>
      <c r="M44" s="3">
        <f t="shared" si="1"/>
        <v>-2.2204460492503131E-16</v>
      </c>
    </row>
    <row r="45" spans="1:14" x14ac:dyDescent="0.25">
      <c r="A45" s="4" t="s">
        <v>284</v>
      </c>
      <c r="B45" s="4" t="s">
        <v>148</v>
      </c>
      <c r="C45" s="4" t="s">
        <v>285</v>
      </c>
      <c r="D45" s="4" t="s">
        <v>13</v>
      </c>
      <c r="E45" s="4" t="s">
        <v>14</v>
      </c>
      <c r="F45" s="5">
        <v>44774</v>
      </c>
      <c r="G45" s="4" t="s">
        <v>285</v>
      </c>
      <c r="H45" s="4">
        <v>9012.5570399999997</v>
      </c>
      <c r="I45" s="4">
        <v>120</v>
      </c>
      <c r="J45" s="4">
        <v>0</v>
      </c>
      <c r="K45" s="6">
        <f t="shared" si="0"/>
        <v>156217.65535999998</v>
      </c>
      <c r="L45" s="2">
        <v>151235.65600000002</v>
      </c>
      <c r="M45" s="3">
        <f t="shared" si="1"/>
        <v>3.2941962839768246E-2</v>
      </c>
    </row>
    <row r="46" spans="1:14" x14ac:dyDescent="0.25">
      <c r="A46" t="s">
        <v>73</v>
      </c>
      <c r="B46" t="s">
        <v>74</v>
      </c>
      <c r="C46" t="s">
        <v>75</v>
      </c>
      <c r="D46" t="s">
        <v>13</v>
      </c>
      <c r="E46" t="s">
        <v>14</v>
      </c>
      <c r="F46" s="1">
        <v>44361</v>
      </c>
      <c r="G46" t="s">
        <v>75</v>
      </c>
      <c r="H46">
        <v>9582.6648719999994</v>
      </c>
      <c r="I46">
        <v>132</v>
      </c>
      <c r="J46">
        <v>0</v>
      </c>
      <c r="K46" s="2">
        <f t="shared" si="0"/>
        <v>150999.56767999998</v>
      </c>
      <c r="L46" s="2">
        <v>145877.56767999998</v>
      </c>
      <c r="M46" s="3">
        <f t="shared" si="1"/>
        <v>3.5111635609634817E-2</v>
      </c>
    </row>
    <row r="47" spans="1:14" x14ac:dyDescent="0.25">
      <c r="A47" t="s">
        <v>682</v>
      </c>
      <c r="B47" t="s">
        <v>491</v>
      </c>
      <c r="C47" t="s">
        <v>49</v>
      </c>
      <c r="D47" t="s">
        <v>13</v>
      </c>
      <c r="E47" t="s">
        <v>14</v>
      </c>
      <c r="F47" s="1">
        <v>44417</v>
      </c>
      <c r="G47" t="s">
        <v>49</v>
      </c>
      <c r="H47">
        <v>10961.53852</v>
      </c>
      <c r="I47">
        <v>152</v>
      </c>
      <c r="J47">
        <v>0</v>
      </c>
      <c r="K47" s="2">
        <f t="shared" si="0"/>
        <v>150000.00080000001</v>
      </c>
      <c r="L47" s="2">
        <v>136874.99904</v>
      </c>
      <c r="M47" s="3">
        <f t="shared" si="1"/>
        <v>9.5890424489898152E-2</v>
      </c>
    </row>
    <row r="48" spans="1:14" x14ac:dyDescent="0.25">
      <c r="A48" t="s">
        <v>1012</v>
      </c>
      <c r="B48" t="s">
        <v>148</v>
      </c>
      <c r="C48" t="s">
        <v>1013</v>
      </c>
      <c r="D48" t="s">
        <v>13</v>
      </c>
      <c r="E48" t="s">
        <v>14</v>
      </c>
      <c r="F48" s="1">
        <v>45797</v>
      </c>
      <c r="G48" t="s">
        <v>1013</v>
      </c>
      <c r="H48">
        <v>10384.61544</v>
      </c>
      <c r="I48">
        <v>144</v>
      </c>
      <c r="J48">
        <v>0</v>
      </c>
      <c r="K48" s="2">
        <f t="shared" si="0"/>
        <v>150000.00080000001</v>
      </c>
      <c r="L48" s="2">
        <v>150000.00080000001</v>
      </c>
      <c r="M48" s="3">
        <f t="shared" si="1"/>
        <v>0</v>
      </c>
      <c r="N48" t="s">
        <v>1060</v>
      </c>
    </row>
    <row r="49" spans="1:13" x14ac:dyDescent="0.25">
      <c r="A49" t="s">
        <v>1010</v>
      </c>
      <c r="B49" t="s">
        <v>505</v>
      </c>
      <c r="C49" t="s">
        <v>1011</v>
      </c>
      <c r="D49" t="s">
        <v>13</v>
      </c>
      <c r="E49" t="s">
        <v>14</v>
      </c>
      <c r="F49" s="1">
        <v>41463</v>
      </c>
      <c r="G49" t="s">
        <v>1011</v>
      </c>
      <c r="H49">
        <v>9705.2476399999996</v>
      </c>
      <c r="I49">
        <v>136</v>
      </c>
      <c r="J49">
        <v>0</v>
      </c>
      <c r="K49" s="2">
        <f t="shared" si="0"/>
        <v>148433.1992</v>
      </c>
      <c r="L49" s="2">
        <v>144110.304</v>
      </c>
      <c r="M49" s="3">
        <f t="shared" si="1"/>
        <v>2.9997127755694741E-2</v>
      </c>
    </row>
    <row r="50" spans="1:13" x14ac:dyDescent="0.25">
      <c r="A50" t="s">
        <v>473</v>
      </c>
      <c r="B50" t="s">
        <v>474</v>
      </c>
      <c r="C50" t="s">
        <v>475</v>
      </c>
      <c r="D50" t="s">
        <v>13</v>
      </c>
      <c r="E50" t="s">
        <v>14</v>
      </c>
      <c r="F50" s="1">
        <v>40070</v>
      </c>
      <c r="G50" t="s">
        <v>475</v>
      </c>
      <c r="H50">
        <v>9667.0323200000003</v>
      </c>
      <c r="I50">
        <v>136</v>
      </c>
      <c r="J50">
        <v>0</v>
      </c>
      <c r="K50" s="2">
        <f t="shared" si="0"/>
        <v>147848.72960000002</v>
      </c>
      <c r="L50" s="2">
        <v>143542.73024</v>
      </c>
      <c r="M50" s="3">
        <f t="shared" si="1"/>
        <v>2.9998031616094378E-2</v>
      </c>
    </row>
    <row r="51" spans="1:13" x14ac:dyDescent="0.25">
      <c r="A51" t="s">
        <v>181</v>
      </c>
      <c r="B51" t="s">
        <v>182</v>
      </c>
      <c r="C51" t="s">
        <v>183</v>
      </c>
      <c r="D51" t="s">
        <v>13</v>
      </c>
      <c r="E51" t="s">
        <v>14</v>
      </c>
      <c r="F51" s="1">
        <v>35947</v>
      </c>
      <c r="G51" t="s">
        <v>183</v>
      </c>
      <c r="H51">
        <v>10734.215224</v>
      </c>
      <c r="I51">
        <v>152</v>
      </c>
      <c r="J51">
        <v>0</v>
      </c>
      <c r="K51" s="2">
        <f t="shared" si="0"/>
        <v>146889.26095999999</v>
      </c>
      <c r="L51" s="2">
        <v>142611.26048</v>
      </c>
      <c r="M51" s="3">
        <f t="shared" si="1"/>
        <v>2.9997634587907829E-2</v>
      </c>
    </row>
    <row r="52" spans="1:13" x14ac:dyDescent="0.25">
      <c r="A52" t="s">
        <v>417</v>
      </c>
      <c r="B52" t="s">
        <v>54</v>
      </c>
      <c r="C52" t="s">
        <v>418</v>
      </c>
      <c r="D52" t="s">
        <v>13</v>
      </c>
      <c r="E52" t="s">
        <v>14</v>
      </c>
      <c r="F52" s="1">
        <v>42513</v>
      </c>
      <c r="G52" t="s">
        <v>418</v>
      </c>
      <c r="H52">
        <v>10559.681224</v>
      </c>
      <c r="I52">
        <v>152</v>
      </c>
      <c r="J52">
        <v>0</v>
      </c>
      <c r="K52" s="2">
        <f t="shared" si="0"/>
        <v>144500.90096</v>
      </c>
      <c r="L52" s="2">
        <v>140000.848</v>
      </c>
      <c r="M52" s="3">
        <f t="shared" si="1"/>
        <v>3.2143040733581874E-2</v>
      </c>
    </row>
    <row r="53" spans="1:13" x14ac:dyDescent="0.25">
      <c r="A53" t="s">
        <v>881</v>
      </c>
      <c r="B53" t="s">
        <v>74</v>
      </c>
      <c r="C53" t="s">
        <v>472</v>
      </c>
      <c r="D53" t="s">
        <v>13</v>
      </c>
      <c r="E53" t="s">
        <v>14</v>
      </c>
      <c r="F53" s="1">
        <v>31229</v>
      </c>
      <c r="G53" t="s">
        <v>472</v>
      </c>
      <c r="H53">
        <v>9567.0516179999995</v>
      </c>
      <c r="I53">
        <v>138</v>
      </c>
      <c r="J53">
        <v>0</v>
      </c>
      <c r="K53" s="2">
        <f t="shared" si="0"/>
        <v>144199.03887999998</v>
      </c>
      <c r="L53" s="2">
        <v>139928.03968000002</v>
      </c>
      <c r="M53" s="3">
        <f t="shared" si="1"/>
        <v>3.0522825945159093E-2</v>
      </c>
    </row>
    <row r="54" spans="1:13" x14ac:dyDescent="0.25">
      <c r="A54" t="s">
        <v>661</v>
      </c>
      <c r="B54" t="s">
        <v>459</v>
      </c>
      <c r="C54" t="s">
        <v>153</v>
      </c>
      <c r="D54" t="s">
        <v>13</v>
      </c>
      <c r="E54" t="s">
        <v>14</v>
      </c>
      <c r="F54" s="1">
        <v>41925</v>
      </c>
      <c r="G54" t="s">
        <v>153</v>
      </c>
      <c r="H54">
        <v>10471.296112</v>
      </c>
      <c r="I54">
        <v>152</v>
      </c>
      <c r="J54">
        <v>0</v>
      </c>
      <c r="K54" s="2">
        <f t="shared" si="0"/>
        <v>143291.42048</v>
      </c>
      <c r="L54" s="2">
        <v>139117.47199999998</v>
      </c>
      <c r="M54" s="3">
        <f t="shared" si="1"/>
        <v>3.0003050084176586E-2</v>
      </c>
    </row>
    <row r="55" spans="1:13" x14ac:dyDescent="0.25">
      <c r="A55" t="s">
        <v>687</v>
      </c>
      <c r="B55" t="s">
        <v>74</v>
      </c>
      <c r="C55" t="s">
        <v>688</v>
      </c>
      <c r="D55" t="s">
        <v>13</v>
      </c>
      <c r="E55" t="s">
        <v>14</v>
      </c>
      <c r="F55" s="1">
        <v>40392</v>
      </c>
      <c r="G55" t="s">
        <v>688</v>
      </c>
      <c r="H55">
        <v>9160.3624159999999</v>
      </c>
      <c r="I55">
        <v>136</v>
      </c>
      <c r="J55">
        <v>0</v>
      </c>
      <c r="K55" s="2">
        <f t="shared" si="0"/>
        <v>140099.66047999999</v>
      </c>
      <c r="L55" s="2">
        <v>135977.66</v>
      </c>
      <c r="M55" s="3">
        <f t="shared" si="1"/>
        <v>3.0313806547340061E-2</v>
      </c>
    </row>
    <row r="56" spans="1:13" x14ac:dyDescent="0.25">
      <c r="A56" t="s">
        <v>596</v>
      </c>
      <c r="B56" t="s">
        <v>597</v>
      </c>
      <c r="C56" t="s">
        <v>598</v>
      </c>
      <c r="D56" t="s">
        <v>13</v>
      </c>
      <c r="E56" t="s">
        <v>14</v>
      </c>
      <c r="F56" s="1">
        <v>38176</v>
      </c>
      <c r="G56" t="s">
        <v>598</v>
      </c>
      <c r="H56">
        <v>10165</v>
      </c>
      <c r="I56">
        <v>152</v>
      </c>
      <c r="J56">
        <v>0</v>
      </c>
      <c r="K56" s="2">
        <f t="shared" si="0"/>
        <v>139100</v>
      </c>
      <c r="L56" s="2">
        <v>139100</v>
      </c>
      <c r="M56" s="3">
        <f t="shared" si="1"/>
        <v>0</v>
      </c>
    </row>
    <row r="57" spans="1:13" x14ac:dyDescent="0.25">
      <c r="A57" t="s">
        <v>471</v>
      </c>
      <c r="B57" t="s">
        <v>74</v>
      </c>
      <c r="C57" t="s">
        <v>472</v>
      </c>
      <c r="D57" t="s">
        <v>13</v>
      </c>
      <c r="E57" t="s">
        <v>14</v>
      </c>
      <c r="F57" s="1">
        <v>35879</v>
      </c>
      <c r="G57" t="s">
        <v>472</v>
      </c>
      <c r="H57">
        <v>7457.6847520000001</v>
      </c>
      <c r="I57">
        <v>112</v>
      </c>
      <c r="J57">
        <v>0</v>
      </c>
      <c r="K57" s="2">
        <f t="shared" si="0"/>
        <v>138499.85968000002</v>
      </c>
      <c r="L57" s="2">
        <v>134342.85904000001</v>
      </c>
      <c r="M57" s="3">
        <f t="shared" si="1"/>
        <v>3.0943219979874703E-2</v>
      </c>
    </row>
    <row r="58" spans="1:13" x14ac:dyDescent="0.25">
      <c r="A58" t="s">
        <v>648</v>
      </c>
      <c r="B58" t="s">
        <v>254</v>
      </c>
      <c r="C58" t="s">
        <v>649</v>
      </c>
      <c r="D58" t="s">
        <v>13</v>
      </c>
      <c r="E58" t="s">
        <v>14</v>
      </c>
      <c r="F58" s="1">
        <v>44774</v>
      </c>
      <c r="G58" t="s">
        <v>649</v>
      </c>
      <c r="H58">
        <v>8496.3077119999998</v>
      </c>
      <c r="I58">
        <v>128</v>
      </c>
      <c r="J58">
        <v>0</v>
      </c>
      <c r="K58" s="2">
        <f t="shared" si="0"/>
        <v>138065.00031999999</v>
      </c>
      <c r="L58" s="2">
        <v>130249.99936000002</v>
      </c>
      <c r="M58" s="3">
        <f t="shared" si="1"/>
        <v>6.0000007665258925E-2</v>
      </c>
    </row>
    <row r="59" spans="1:13" x14ac:dyDescent="0.25">
      <c r="A59" t="s">
        <v>551</v>
      </c>
      <c r="B59" t="s">
        <v>74</v>
      </c>
      <c r="C59" t="s">
        <v>552</v>
      </c>
      <c r="D59" t="s">
        <v>13</v>
      </c>
      <c r="E59" t="s">
        <v>14</v>
      </c>
      <c r="F59" s="1">
        <v>43424</v>
      </c>
      <c r="G59" t="s">
        <v>552</v>
      </c>
      <c r="H59">
        <v>7921.14</v>
      </c>
      <c r="I59">
        <v>120</v>
      </c>
      <c r="J59">
        <v>0</v>
      </c>
      <c r="K59" s="2">
        <f t="shared" si="0"/>
        <v>137299.76</v>
      </c>
      <c r="L59" s="2">
        <v>132305.76112000001</v>
      </c>
      <c r="M59" s="3">
        <f t="shared" si="1"/>
        <v>3.7745891318145208E-2</v>
      </c>
    </row>
    <row r="60" spans="1:13" x14ac:dyDescent="0.25">
      <c r="A60" t="s">
        <v>735</v>
      </c>
      <c r="B60" t="s">
        <v>736</v>
      </c>
      <c r="C60" t="s">
        <v>153</v>
      </c>
      <c r="D60" t="s">
        <v>13</v>
      </c>
      <c r="E60" t="s">
        <v>14</v>
      </c>
      <c r="F60" s="1">
        <v>37473</v>
      </c>
      <c r="G60" t="s">
        <v>153</v>
      </c>
      <c r="H60">
        <v>10013.646000000001</v>
      </c>
      <c r="I60">
        <v>152</v>
      </c>
      <c r="J60">
        <v>0</v>
      </c>
      <c r="K60" s="2">
        <f t="shared" si="0"/>
        <v>137028.84</v>
      </c>
      <c r="L60" s="2">
        <v>133856.736</v>
      </c>
      <c r="M60" s="3">
        <f t="shared" si="1"/>
        <v>2.3697753992746318E-2</v>
      </c>
    </row>
    <row r="61" spans="1:13" x14ac:dyDescent="0.25">
      <c r="A61" t="s">
        <v>901</v>
      </c>
      <c r="B61" t="s">
        <v>879</v>
      </c>
      <c r="C61" t="s">
        <v>902</v>
      </c>
      <c r="D61" t="s">
        <v>13</v>
      </c>
      <c r="E61" t="s">
        <v>14</v>
      </c>
      <c r="F61" s="1">
        <v>42786</v>
      </c>
      <c r="G61" t="s">
        <v>902</v>
      </c>
      <c r="H61">
        <v>9936.1582240000007</v>
      </c>
      <c r="I61">
        <v>152</v>
      </c>
      <c r="J61">
        <v>0</v>
      </c>
      <c r="K61" s="2">
        <f t="shared" si="0"/>
        <v>135968.48096000002</v>
      </c>
      <c r="L61" s="2">
        <v>132820.47999999998</v>
      </c>
      <c r="M61" s="3">
        <f t="shared" si="1"/>
        <v>2.3701171385617892E-2</v>
      </c>
    </row>
    <row r="62" spans="1:13" x14ac:dyDescent="0.25">
      <c r="A62" t="s">
        <v>253</v>
      </c>
      <c r="B62" t="s">
        <v>254</v>
      </c>
      <c r="C62" t="s">
        <v>255</v>
      </c>
      <c r="D62" t="s">
        <v>13</v>
      </c>
      <c r="E62" t="s">
        <v>14</v>
      </c>
      <c r="F62" s="1">
        <v>45727</v>
      </c>
      <c r="G62" t="s">
        <v>255</v>
      </c>
      <c r="H62">
        <v>10205</v>
      </c>
      <c r="I62">
        <v>157</v>
      </c>
      <c r="J62">
        <v>0</v>
      </c>
      <c r="K62" s="2">
        <f t="shared" si="0"/>
        <v>135200</v>
      </c>
      <c r="L62" s="2">
        <v>135200</v>
      </c>
      <c r="M62" s="3">
        <f t="shared" si="1"/>
        <v>0</v>
      </c>
    </row>
    <row r="63" spans="1:13" x14ac:dyDescent="0.25">
      <c r="A63" t="s">
        <v>206</v>
      </c>
      <c r="B63" t="s">
        <v>74</v>
      </c>
      <c r="C63" t="s">
        <v>207</v>
      </c>
      <c r="D63" t="s">
        <v>13</v>
      </c>
      <c r="E63" t="s">
        <v>14</v>
      </c>
      <c r="F63" s="1">
        <v>44459</v>
      </c>
      <c r="G63" t="s">
        <v>207</v>
      </c>
      <c r="H63">
        <v>9865.3845920000003</v>
      </c>
      <c r="I63">
        <v>152</v>
      </c>
      <c r="J63">
        <v>0</v>
      </c>
      <c r="K63" s="2">
        <f t="shared" si="0"/>
        <v>134999.99968000001</v>
      </c>
      <c r="L63" s="2">
        <v>130300.00048</v>
      </c>
      <c r="M63" s="3">
        <f t="shared" si="1"/>
        <v>3.6070600020614796E-2</v>
      </c>
    </row>
    <row r="64" spans="1:13" x14ac:dyDescent="0.25">
      <c r="A64" t="s">
        <v>286</v>
      </c>
      <c r="B64" t="s">
        <v>74</v>
      </c>
      <c r="C64" t="s">
        <v>287</v>
      </c>
      <c r="D64" t="s">
        <v>13</v>
      </c>
      <c r="E64" t="s">
        <v>14</v>
      </c>
      <c r="F64" s="1">
        <v>45740</v>
      </c>
      <c r="G64" t="s">
        <v>287</v>
      </c>
      <c r="H64">
        <v>9346.1538240000009</v>
      </c>
      <c r="I64">
        <v>144</v>
      </c>
      <c r="J64">
        <v>0</v>
      </c>
      <c r="K64" s="2">
        <f t="shared" si="0"/>
        <v>134999.99968000001</v>
      </c>
      <c r="L64" s="2">
        <v>134999.99968000001</v>
      </c>
      <c r="M64" s="3">
        <f t="shared" si="1"/>
        <v>0</v>
      </c>
    </row>
    <row r="65" spans="1:14" x14ac:dyDescent="0.25">
      <c r="A65" t="s">
        <v>320</v>
      </c>
      <c r="B65" t="s">
        <v>321</v>
      </c>
      <c r="C65" t="s">
        <v>322</v>
      </c>
      <c r="D65" t="s">
        <v>13</v>
      </c>
      <c r="E65" t="s">
        <v>14</v>
      </c>
      <c r="F65" s="1">
        <v>40889</v>
      </c>
      <c r="G65" t="s">
        <v>322</v>
      </c>
      <c r="H65">
        <v>9865.3845920000003</v>
      </c>
      <c r="I65">
        <v>152</v>
      </c>
      <c r="J65">
        <v>0</v>
      </c>
      <c r="K65" s="2">
        <f t="shared" si="0"/>
        <v>134999.99968000001</v>
      </c>
      <c r="L65" s="2">
        <v>134999.99968000001</v>
      </c>
      <c r="M65" s="3">
        <f t="shared" si="1"/>
        <v>0</v>
      </c>
      <c r="N65" t="s">
        <v>1060</v>
      </c>
    </row>
    <row r="66" spans="1:14" x14ac:dyDescent="0.25">
      <c r="A66" t="s">
        <v>266</v>
      </c>
      <c r="B66" t="s">
        <v>267</v>
      </c>
      <c r="C66" t="s">
        <v>171</v>
      </c>
      <c r="D66" t="s">
        <v>13</v>
      </c>
      <c r="E66" t="s">
        <v>14</v>
      </c>
      <c r="F66" s="1">
        <v>45502</v>
      </c>
      <c r="G66" t="s">
        <v>171</v>
      </c>
      <c r="H66">
        <v>6695</v>
      </c>
      <c r="I66">
        <v>104</v>
      </c>
      <c r="J66">
        <v>0</v>
      </c>
      <c r="K66" s="2">
        <f t="shared" ref="K66:K129" si="2">(2080/I66)*H66</f>
        <v>133900</v>
      </c>
      <c r="L66" s="2">
        <v>130000.00000000001</v>
      </c>
      <c r="M66" s="3">
        <f t="shared" si="1"/>
        <v>2.9999999999999805E-2</v>
      </c>
    </row>
    <row r="67" spans="1:14" x14ac:dyDescent="0.25">
      <c r="A67" t="s">
        <v>820</v>
      </c>
      <c r="B67" t="s">
        <v>821</v>
      </c>
      <c r="C67" t="s">
        <v>387</v>
      </c>
      <c r="D67" t="s">
        <v>13</v>
      </c>
      <c r="E67" t="s">
        <v>14</v>
      </c>
      <c r="F67" s="1">
        <v>34826</v>
      </c>
      <c r="G67" t="s">
        <v>387</v>
      </c>
      <c r="H67">
        <v>9755.7691840000007</v>
      </c>
      <c r="I67">
        <v>152</v>
      </c>
      <c r="J67">
        <v>0</v>
      </c>
      <c r="K67" s="2">
        <f t="shared" si="2"/>
        <v>133499.99936000002</v>
      </c>
      <c r="L67" s="2">
        <v>123435</v>
      </c>
      <c r="M67" s="3">
        <f t="shared" ref="M67:M130" si="3">IFERROR((K67/L67)-1,0)</f>
        <v>8.1540886782517141E-2</v>
      </c>
    </row>
    <row r="68" spans="1:14" x14ac:dyDescent="0.25">
      <c r="A68" t="s">
        <v>304</v>
      </c>
      <c r="B68" t="s">
        <v>305</v>
      </c>
      <c r="C68" t="s">
        <v>306</v>
      </c>
      <c r="D68" t="s">
        <v>13</v>
      </c>
      <c r="E68" t="s">
        <v>14</v>
      </c>
      <c r="F68" s="1">
        <v>45740</v>
      </c>
      <c r="G68" t="s">
        <v>306</v>
      </c>
      <c r="H68">
        <v>9207.692352</v>
      </c>
      <c r="I68">
        <v>144</v>
      </c>
      <c r="J68">
        <v>0</v>
      </c>
      <c r="K68" s="2">
        <f t="shared" si="2"/>
        <v>133000.00064000001</v>
      </c>
      <c r="L68" s="2">
        <v>133000.00064000001</v>
      </c>
      <c r="M68" s="3">
        <f t="shared" si="3"/>
        <v>0</v>
      </c>
    </row>
    <row r="69" spans="1:14" x14ac:dyDescent="0.25">
      <c r="A69" t="s">
        <v>679</v>
      </c>
      <c r="B69" t="s">
        <v>94</v>
      </c>
      <c r="C69" t="s">
        <v>487</v>
      </c>
      <c r="D69" t="s">
        <v>13</v>
      </c>
      <c r="E69" t="s">
        <v>14</v>
      </c>
      <c r="F69" s="1">
        <v>44872</v>
      </c>
      <c r="G69" t="s">
        <v>487</v>
      </c>
      <c r="H69">
        <v>9646.1537759999992</v>
      </c>
      <c r="I69">
        <v>152</v>
      </c>
      <c r="J69">
        <v>0</v>
      </c>
      <c r="K69" s="2">
        <f t="shared" si="2"/>
        <v>131999.99904</v>
      </c>
      <c r="L69" s="2">
        <v>128000.00096</v>
      </c>
      <c r="M69" s="3">
        <f t="shared" si="3"/>
        <v>3.1249984765625127E-2</v>
      </c>
    </row>
    <row r="70" spans="1:14" x14ac:dyDescent="0.25">
      <c r="A70" t="s">
        <v>855</v>
      </c>
      <c r="B70" t="s">
        <v>856</v>
      </c>
      <c r="C70" t="s">
        <v>153</v>
      </c>
      <c r="D70" t="s">
        <v>13</v>
      </c>
      <c r="E70" t="s">
        <v>14</v>
      </c>
      <c r="F70" s="1">
        <v>42492</v>
      </c>
      <c r="G70" t="s">
        <v>153</v>
      </c>
      <c r="H70">
        <v>8561.3399439999994</v>
      </c>
      <c r="I70">
        <v>136</v>
      </c>
      <c r="J70">
        <v>0</v>
      </c>
      <c r="K70" s="2">
        <f t="shared" si="2"/>
        <v>130938.14031999999</v>
      </c>
      <c r="L70" s="2">
        <v>127124.192</v>
      </c>
      <c r="M70" s="3">
        <f t="shared" si="3"/>
        <v>3.000175072892497E-2</v>
      </c>
    </row>
    <row r="71" spans="1:14" x14ac:dyDescent="0.25">
      <c r="A71" t="s">
        <v>200</v>
      </c>
      <c r="B71" t="s">
        <v>201</v>
      </c>
      <c r="C71" t="s">
        <v>202</v>
      </c>
      <c r="D71" t="s">
        <v>13</v>
      </c>
      <c r="E71" t="s">
        <v>14</v>
      </c>
      <c r="F71" s="1">
        <v>43886</v>
      </c>
      <c r="G71" t="s">
        <v>202</v>
      </c>
      <c r="H71">
        <v>9504.9371119999996</v>
      </c>
      <c r="I71">
        <v>152</v>
      </c>
      <c r="J71">
        <v>0</v>
      </c>
      <c r="K71" s="2">
        <f t="shared" si="2"/>
        <v>130067.56048</v>
      </c>
      <c r="L71" s="2">
        <v>125064.55936000001</v>
      </c>
      <c r="M71" s="3">
        <f t="shared" si="3"/>
        <v>4.0003348235520431E-2</v>
      </c>
    </row>
    <row r="72" spans="1:14" x14ac:dyDescent="0.25">
      <c r="A72" t="s">
        <v>86</v>
      </c>
      <c r="B72" t="s">
        <v>72</v>
      </c>
      <c r="C72" t="s">
        <v>87</v>
      </c>
      <c r="D72" t="s">
        <v>13</v>
      </c>
      <c r="E72" t="s">
        <v>14</v>
      </c>
      <c r="F72" s="1">
        <v>37361</v>
      </c>
      <c r="G72" t="s">
        <v>87</v>
      </c>
      <c r="H72">
        <v>9000</v>
      </c>
      <c r="I72">
        <v>144</v>
      </c>
      <c r="J72">
        <v>0</v>
      </c>
      <c r="K72" s="2">
        <f t="shared" si="2"/>
        <v>130000</v>
      </c>
      <c r="L72" s="2">
        <v>130000.00000000001</v>
      </c>
      <c r="M72" s="3">
        <f t="shared" si="3"/>
        <v>-1.1102230246251565E-16</v>
      </c>
    </row>
    <row r="73" spans="1:14" x14ac:dyDescent="0.25">
      <c r="A73" t="s">
        <v>367</v>
      </c>
      <c r="B73" t="s">
        <v>368</v>
      </c>
      <c r="C73" t="s">
        <v>90</v>
      </c>
      <c r="D73" t="s">
        <v>13</v>
      </c>
      <c r="E73" t="s">
        <v>14</v>
      </c>
      <c r="F73" s="1">
        <v>37720</v>
      </c>
      <c r="G73" t="s">
        <v>90</v>
      </c>
      <c r="H73">
        <v>7983.8608640000002</v>
      </c>
      <c r="I73">
        <v>128</v>
      </c>
      <c r="J73">
        <v>0</v>
      </c>
      <c r="K73" s="2">
        <f t="shared" si="2"/>
        <v>129737.73904</v>
      </c>
      <c r="L73" s="2">
        <v>124747.792</v>
      </c>
      <c r="M73" s="3">
        <f t="shared" si="3"/>
        <v>4.0000283451910645E-2</v>
      </c>
    </row>
    <row r="74" spans="1:14" x14ac:dyDescent="0.25">
      <c r="A74" t="s">
        <v>307</v>
      </c>
      <c r="B74" t="s">
        <v>308</v>
      </c>
      <c r="C74" t="s">
        <v>258</v>
      </c>
      <c r="D74" t="s">
        <v>13</v>
      </c>
      <c r="E74" t="s">
        <v>14</v>
      </c>
      <c r="F74" s="1">
        <v>32356</v>
      </c>
      <c r="G74" t="s">
        <v>258</v>
      </c>
      <c r="H74">
        <v>8932.2341759999999</v>
      </c>
      <c r="I74">
        <v>144</v>
      </c>
      <c r="J74">
        <v>0</v>
      </c>
      <c r="K74" s="2">
        <f t="shared" si="2"/>
        <v>129021.16032</v>
      </c>
      <c r="L74" s="2">
        <v>125263.15983999999</v>
      </c>
      <c r="M74" s="3">
        <f t="shared" si="3"/>
        <v>3.0000843702171709E-2</v>
      </c>
    </row>
    <row r="75" spans="1:14" x14ac:dyDescent="0.25">
      <c r="A75" t="s">
        <v>587</v>
      </c>
      <c r="B75" t="s">
        <v>588</v>
      </c>
      <c r="C75" t="s">
        <v>589</v>
      </c>
      <c r="D75" t="s">
        <v>13</v>
      </c>
      <c r="E75" t="s">
        <v>14</v>
      </c>
      <c r="F75" s="1">
        <v>42975</v>
      </c>
      <c r="G75" t="s">
        <v>589</v>
      </c>
      <c r="H75">
        <v>8899.2000000000007</v>
      </c>
      <c r="I75">
        <v>144</v>
      </c>
      <c r="J75">
        <v>0</v>
      </c>
      <c r="K75" s="2">
        <f t="shared" si="2"/>
        <v>128544.00000000001</v>
      </c>
      <c r="L75" s="2">
        <v>124800</v>
      </c>
      <c r="M75" s="3">
        <f t="shared" si="3"/>
        <v>3.0000000000000027E-2</v>
      </c>
    </row>
    <row r="76" spans="1:14" x14ac:dyDescent="0.25">
      <c r="A76" t="s">
        <v>636</v>
      </c>
      <c r="B76" t="s">
        <v>579</v>
      </c>
      <c r="C76" t="s">
        <v>637</v>
      </c>
      <c r="D76" t="s">
        <v>13</v>
      </c>
      <c r="E76" t="s">
        <v>14</v>
      </c>
      <c r="F76" s="1">
        <v>38299</v>
      </c>
      <c r="G76" t="s">
        <v>637</v>
      </c>
      <c r="H76">
        <v>8641.4691999999995</v>
      </c>
      <c r="I76">
        <v>140</v>
      </c>
      <c r="J76">
        <v>0</v>
      </c>
      <c r="K76" s="2">
        <f t="shared" si="2"/>
        <v>128387.54239999999</v>
      </c>
      <c r="L76" s="2">
        <v>124648.54063999999</v>
      </c>
      <c r="M76" s="3">
        <f t="shared" si="3"/>
        <v>2.9996354075245035E-2</v>
      </c>
    </row>
    <row r="77" spans="1:14" x14ac:dyDescent="0.25">
      <c r="A77" t="s">
        <v>751</v>
      </c>
      <c r="B77" t="s">
        <v>118</v>
      </c>
      <c r="C77" t="s">
        <v>752</v>
      </c>
      <c r="D77" t="s">
        <v>13</v>
      </c>
      <c r="E77" t="s">
        <v>14</v>
      </c>
      <c r="F77" s="1">
        <v>30816</v>
      </c>
      <c r="G77" t="s">
        <v>752</v>
      </c>
      <c r="H77">
        <v>8392.6384720000005</v>
      </c>
      <c r="I77">
        <v>136</v>
      </c>
      <c r="J77">
        <v>0</v>
      </c>
      <c r="K77" s="2">
        <f t="shared" si="2"/>
        <v>128358.00016000001</v>
      </c>
      <c r="L77" s="2">
        <v>124017.00064000001</v>
      </c>
      <c r="M77" s="3">
        <f t="shared" si="3"/>
        <v>3.5003261630243587E-2</v>
      </c>
    </row>
    <row r="78" spans="1:14" x14ac:dyDescent="0.25">
      <c r="A78" t="s">
        <v>1031</v>
      </c>
      <c r="B78" t="s">
        <v>742</v>
      </c>
      <c r="C78" t="s">
        <v>258</v>
      </c>
      <c r="D78" t="s">
        <v>13</v>
      </c>
      <c r="E78" t="s">
        <v>14</v>
      </c>
      <c r="F78" s="1">
        <v>42198</v>
      </c>
      <c r="G78" t="s">
        <v>258</v>
      </c>
      <c r="H78">
        <v>7042.6265679999997</v>
      </c>
      <c r="I78">
        <v>116</v>
      </c>
      <c r="J78">
        <v>0</v>
      </c>
      <c r="K78" s="2">
        <f t="shared" si="2"/>
        <v>126281.57983999998</v>
      </c>
      <c r="L78" s="2">
        <v>122603.58032000001</v>
      </c>
      <c r="M78" s="3">
        <f t="shared" si="3"/>
        <v>2.9999120012647706E-2</v>
      </c>
    </row>
    <row r="79" spans="1:14" x14ac:dyDescent="0.25">
      <c r="A79" t="s">
        <v>80</v>
      </c>
      <c r="B79" t="s">
        <v>81</v>
      </c>
      <c r="C79" t="s">
        <v>82</v>
      </c>
      <c r="D79" t="s">
        <v>13</v>
      </c>
      <c r="E79" t="s">
        <v>14</v>
      </c>
      <c r="F79" s="1">
        <v>43423</v>
      </c>
      <c r="G79" t="s">
        <v>82</v>
      </c>
      <c r="H79">
        <v>9193.6351840000007</v>
      </c>
      <c r="I79">
        <v>152</v>
      </c>
      <c r="J79">
        <v>0</v>
      </c>
      <c r="K79" s="2">
        <f t="shared" si="2"/>
        <v>125807.63936</v>
      </c>
      <c r="L79" s="2">
        <v>120968.64</v>
      </c>
      <c r="M79" s="3">
        <f t="shared" si="3"/>
        <v>4.0002097733759845E-2</v>
      </c>
    </row>
    <row r="80" spans="1:14" x14ac:dyDescent="0.25">
      <c r="A80" t="s">
        <v>222</v>
      </c>
      <c r="B80" t="s">
        <v>148</v>
      </c>
      <c r="C80" t="s">
        <v>223</v>
      </c>
      <c r="D80" t="s">
        <v>13</v>
      </c>
      <c r="E80" t="s">
        <v>14</v>
      </c>
      <c r="F80" s="1">
        <v>43332</v>
      </c>
      <c r="G80" t="s">
        <v>223</v>
      </c>
      <c r="H80">
        <v>9192.7283520000001</v>
      </c>
      <c r="I80">
        <v>152</v>
      </c>
      <c r="J80">
        <v>0</v>
      </c>
      <c r="K80" s="2">
        <f t="shared" si="2"/>
        <v>125795.23007999999</v>
      </c>
      <c r="L80" s="2">
        <v>122131.23104</v>
      </c>
      <c r="M80" s="3">
        <f t="shared" si="3"/>
        <v>3.0000508541504711E-2</v>
      </c>
    </row>
    <row r="81" spans="1:14" x14ac:dyDescent="0.25">
      <c r="A81" t="s">
        <v>1000</v>
      </c>
      <c r="B81" t="s">
        <v>1001</v>
      </c>
      <c r="C81" t="s">
        <v>171</v>
      </c>
      <c r="D81" t="s">
        <v>13</v>
      </c>
      <c r="E81" t="s">
        <v>14</v>
      </c>
      <c r="F81" s="1">
        <v>31698</v>
      </c>
      <c r="G81" t="s">
        <v>171</v>
      </c>
      <c r="H81">
        <v>9139.073112</v>
      </c>
      <c r="I81">
        <v>152</v>
      </c>
      <c r="J81">
        <v>0</v>
      </c>
      <c r="K81" s="2">
        <f t="shared" si="2"/>
        <v>125061.00048</v>
      </c>
      <c r="L81" s="2">
        <v>121300.99904000001</v>
      </c>
      <c r="M81" s="3">
        <f t="shared" si="3"/>
        <v>3.0997283367469208E-2</v>
      </c>
    </row>
    <row r="82" spans="1:14" x14ac:dyDescent="0.25">
      <c r="A82" t="s">
        <v>1051</v>
      </c>
      <c r="B82" t="s">
        <v>201</v>
      </c>
      <c r="C82" t="s">
        <v>202</v>
      </c>
      <c r="D82" t="s">
        <v>13</v>
      </c>
      <c r="E82" t="s">
        <v>14</v>
      </c>
      <c r="F82" s="1">
        <v>44956</v>
      </c>
      <c r="G82" t="s">
        <v>202</v>
      </c>
      <c r="H82">
        <v>9045.1691840000003</v>
      </c>
      <c r="I82">
        <v>152</v>
      </c>
      <c r="J82">
        <v>0</v>
      </c>
      <c r="K82" s="2">
        <f t="shared" si="2"/>
        <v>123775.99936</v>
      </c>
      <c r="L82" s="2">
        <v>112349.99984000002</v>
      </c>
      <c r="M82" s="3">
        <f t="shared" si="3"/>
        <v>0.10170004037625269</v>
      </c>
    </row>
    <row r="83" spans="1:14" x14ac:dyDescent="0.25">
      <c r="A83" t="s">
        <v>808</v>
      </c>
      <c r="B83" t="s">
        <v>331</v>
      </c>
      <c r="C83" t="s">
        <v>90</v>
      </c>
      <c r="D83" t="s">
        <v>13</v>
      </c>
      <c r="E83" t="s">
        <v>14</v>
      </c>
      <c r="F83" s="1">
        <v>45418</v>
      </c>
      <c r="G83" t="s">
        <v>90</v>
      </c>
      <c r="H83">
        <v>9032.3077040000007</v>
      </c>
      <c r="I83">
        <v>152</v>
      </c>
      <c r="J83">
        <v>0</v>
      </c>
      <c r="K83" s="2">
        <f t="shared" si="2"/>
        <v>123600.00016000001</v>
      </c>
      <c r="L83" s="2">
        <v>120000.00064</v>
      </c>
      <c r="M83" s="3">
        <f t="shared" si="3"/>
        <v>2.9999995840000127E-2</v>
      </c>
    </row>
    <row r="84" spans="1:14" x14ac:dyDescent="0.25">
      <c r="A84" t="s">
        <v>811</v>
      </c>
      <c r="B84" t="s">
        <v>201</v>
      </c>
      <c r="C84" t="s">
        <v>202</v>
      </c>
      <c r="D84" t="s">
        <v>13</v>
      </c>
      <c r="E84" t="s">
        <v>14</v>
      </c>
      <c r="F84" s="1">
        <v>42177</v>
      </c>
      <c r="G84" t="s">
        <v>202</v>
      </c>
      <c r="H84">
        <v>7091.5962</v>
      </c>
      <c r="I84">
        <v>120</v>
      </c>
      <c r="J84">
        <v>0</v>
      </c>
      <c r="K84" s="2">
        <f t="shared" si="2"/>
        <v>122921.00079999999</v>
      </c>
      <c r="L84" s="2">
        <v>122921.00079999999</v>
      </c>
      <c r="M84" s="3">
        <f t="shared" si="3"/>
        <v>0</v>
      </c>
    </row>
    <row r="85" spans="1:14" x14ac:dyDescent="0.25">
      <c r="A85" t="s">
        <v>576</v>
      </c>
      <c r="B85" t="s">
        <v>56</v>
      </c>
      <c r="C85" t="s">
        <v>548</v>
      </c>
      <c r="D85" t="s">
        <v>13</v>
      </c>
      <c r="E85" t="s">
        <v>14</v>
      </c>
      <c r="F85" s="1">
        <v>37452</v>
      </c>
      <c r="G85" t="s">
        <v>548</v>
      </c>
      <c r="H85">
        <v>6445.4183199999998</v>
      </c>
      <c r="I85">
        <v>110</v>
      </c>
      <c r="J85">
        <v>0</v>
      </c>
      <c r="K85" s="2">
        <f t="shared" si="2"/>
        <v>121877.00096</v>
      </c>
      <c r="L85" s="2">
        <v>118327.00048</v>
      </c>
      <c r="M85" s="3">
        <f t="shared" si="3"/>
        <v>3.0001609654594752E-2</v>
      </c>
    </row>
    <row r="86" spans="1:14" x14ac:dyDescent="0.25">
      <c r="A86" t="s">
        <v>165</v>
      </c>
      <c r="B86" t="s">
        <v>166</v>
      </c>
      <c r="C86" t="s">
        <v>90</v>
      </c>
      <c r="D86" t="s">
        <v>13</v>
      </c>
      <c r="E86" t="s">
        <v>14</v>
      </c>
      <c r="F86" s="1">
        <v>43269</v>
      </c>
      <c r="G86" t="s">
        <v>90</v>
      </c>
      <c r="H86">
        <v>8895.8468159999993</v>
      </c>
      <c r="I86">
        <v>152</v>
      </c>
      <c r="J86">
        <v>0</v>
      </c>
      <c r="K86" s="2">
        <f t="shared" si="2"/>
        <v>121732.64063999998</v>
      </c>
      <c r="L86" s="2">
        <v>118186.64</v>
      </c>
      <c r="M86" s="3">
        <f t="shared" si="3"/>
        <v>3.000339666141616E-2</v>
      </c>
    </row>
    <row r="87" spans="1:14" x14ac:dyDescent="0.25">
      <c r="A87" t="s">
        <v>785</v>
      </c>
      <c r="B87" t="s">
        <v>81</v>
      </c>
      <c r="C87" t="s">
        <v>786</v>
      </c>
      <c r="D87" t="s">
        <v>13</v>
      </c>
      <c r="E87" t="s">
        <v>14</v>
      </c>
      <c r="F87" s="1">
        <v>42231</v>
      </c>
      <c r="G87" t="s">
        <v>786</v>
      </c>
      <c r="H87">
        <v>7949.543944</v>
      </c>
      <c r="I87">
        <v>136</v>
      </c>
      <c r="J87">
        <v>0</v>
      </c>
      <c r="K87" s="2">
        <f t="shared" si="2"/>
        <v>121581.26032</v>
      </c>
      <c r="L87" s="2">
        <v>118040.208</v>
      </c>
      <c r="M87" s="3">
        <f t="shared" si="3"/>
        <v>2.9998696037540018E-2</v>
      </c>
    </row>
    <row r="88" spans="1:14" x14ac:dyDescent="0.25">
      <c r="A88" t="s">
        <v>905</v>
      </c>
      <c r="B88" t="s">
        <v>368</v>
      </c>
      <c r="C88" t="s">
        <v>90</v>
      </c>
      <c r="D88" t="s">
        <v>13</v>
      </c>
      <c r="E88" t="s">
        <v>14</v>
      </c>
      <c r="F88" s="1">
        <v>44200</v>
      </c>
      <c r="G88" t="s">
        <v>90</v>
      </c>
      <c r="H88">
        <v>8353.8581759999997</v>
      </c>
      <c r="I88">
        <v>144</v>
      </c>
      <c r="J88">
        <v>0</v>
      </c>
      <c r="K88" s="2">
        <f t="shared" si="2"/>
        <v>120666.84032</v>
      </c>
      <c r="L88" s="2">
        <v>113836.736</v>
      </c>
      <c r="M88" s="3">
        <f t="shared" si="3"/>
        <v>5.9999122954474071E-2</v>
      </c>
    </row>
    <row r="89" spans="1:14" x14ac:dyDescent="0.25">
      <c r="A89" t="s">
        <v>831</v>
      </c>
      <c r="B89" t="s">
        <v>832</v>
      </c>
      <c r="C89" t="s">
        <v>387</v>
      </c>
      <c r="D89" t="s">
        <v>13</v>
      </c>
      <c r="E89" t="s">
        <v>14</v>
      </c>
      <c r="F89" s="1">
        <v>36570</v>
      </c>
      <c r="G89" t="s">
        <v>387</v>
      </c>
      <c r="H89">
        <v>7846.1538879999998</v>
      </c>
      <c r="I89">
        <v>136</v>
      </c>
      <c r="J89">
        <v>0</v>
      </c>
      <c r="K89" s="2">
        <f t="shared" si="2"/>
        <v>120000.00064</v>
      </c>
      <c r="L89" s="2">
        <v>109114.00032000001</v>
      </c>
      <c r="M89" s="3">
        <f t="shared" si="3"/>
        <v>9.9767218579416728E-2</v>
      </c>
    </row>
    <row r="90" spans="1:14" x14ac:dyDescent="0.25">
      <c r="A90" t="s">
        <v>302</v>
      </c>
      <c r="B90" t="s">
        <v>303</v>
      </c>
      <c r="C90" t="s">
        <v>153</v>
      </c>
      <c r="D90" t="s">
        <v>13</v>
      </c>
      <c r="E90" t="s">
        <v>14</v>
      </c>
      <c r="F90" s="1">
        <v>32846</v>
      </c>
      <c r="G90" t="s">
        <v>153</v>
      </c>
      <c r="H90">
        <v>8721.0234079999991</v>
      </c>
      <c r="I90">
        <v>152</v>
      </c>
      <c r="J90">
        <v>0</v>
      </c>
      <c r="K90" s="2">
        <f t="shared" si="2"/>
        <v>119340.32031999998</v>
      </c>
      <c r="L90" s="2">
        <v>115864.32000000001</v>
      </c>
      <c r="M90" s="3">
        <f t="shared" si="3"/>
        <v>3.0000610369093517E-2</v>
      </c>
    </row>
    <row r="91" spans="1:14" x14ac:dyDescent="0.25">
      <c r="A91" t="s">
        <v>677</v>
      </c>
      <c r="B91" t="s">
        <v>315</v>
      </c>
      <c r="C91" t="s">
        <v>678</v>
      </c>
      <c r="D91" t="s">
        <v>13</v>
      </c>
      <c r="E91" t="s">
        <v>14</v>
      </c>
      <c r="F91" s="1">
        <v>41673</v>
      </c>
      <c r="G91" t="s">
        <v>678</v>
      </c>
      <c r="H91">
        <v>7885.021506</v>
      </c>
      <c r="I91">
        <v>138</v>
      </c>
      <c r="J91">
        <v>0</v>
      </c>
      <c r="K91" s="2">
        <f t="shared" si="2"/>
        <v>118846.70096</v>
      </c>
      <c r="L91" s="2">
        <v>114275.6992</v>
      </c>
      <c r="M91" s="3">
        <f t="shared" si="3"/>
        <v>3.9999770659902456E-2</v>
      </c>
    </row>
    <row r="92" spans="1:14" x14ac:dyDescent="0.25">
      <c r="A92" t="s">
        <v>490</v>
      </c>
      <c r="B92" t="s">
        <v>491</v>
      </c>
      <c r="C92" t="s">
        <v>26</v>
      </c>
      <c r="D92" t="s">
        <v>13</v>
      </c>
      <c r="E92" t="s">
        <v>14</v>
      </c>
      <c r="F92" s="1">
        <v>44342</v>
      </c>
      <c r="G92" t="s">
        <v>26</v>
      </c>
      <c r="H92">
        <v>8636.3037760000007</v>
      </c>
      <c r="I92">
        <v>152</v>
      </c>
      <c r="J92">
        <v>0</v>
      </c>
      <c r="K92" s="2">
        <f t="shared" si="2"/>
        <v>118180.99904000001</v>
      </c>
      <c r="L92" s="2">
        <v>114739.00048000002</v>
      </c>
      <c r="M92" s="3">
        <f t="shared" si="3"/>
        <v>2.9998505700770561E-2</v>
      </c>
    </row>
    <row r="93" spans="1:14" x14ac:dyDescent="0.25">
      <c r="A93" t="s">
        <v>525</v>
      </c>
      <c r="B93" t="s">
        <v>526</v>
      </c>
      <c r="C93" t="s">
        <v>527</v>
      </c>
      <c r="D93" t="s">
        <v>13</v>
      </c>
      <c r="E93" t="s">
        <v>14</v>
      </c>
      <c r="F93" s="1">
        <v>37893</v>
      </c>
      <c r="G93" t="s">
        <v>527</v>
      </c>
      <c r="H93">
        <v>8139.3230880000001</v>
      </c>
      <c r="I93">
        <v>144</v>
      </c>
      <c r="J93">
        <v>0</v>
      </c>
      <c r="K93" s="2">
        <f t="shared" si="2"/>
        <v>117568.00016</v>
      </c>
      <c r="L93" s="2">
        <v>113591.99904</v>
      </c>
      <c r="M93" s="3">
        <f t="shared" si="3"/>
        <v>3.5002475117986931E-2</v>
      </c>
    </row>
    <row r="94" spans="1:14" x14ac:dyDescent="0.25">
      <c r="A94" t="s">
        <v>584</v>
      </c>
      <c r="B94" t="s">
        <v>295</v>
      </c>
      <c r="C94" t="s">
        <v>36</v>
      </c>
      <c r="D94" t="s">
        <v>13</v>
      </c>
      <c r="E94" t="s">
        <v>14</v>
      </c>
      <c r="F94" s="1">
        <v>42860</v>
      </c>
      <c r="G94" t="s">
        <v>36</v>
      </c>
      <c r="H94">
        <v>7176.2461480000002</v>
      </c>
      <c r="I94">
        <v>128</v>
      </c>
      <c r="J94">
        <v>0</v>
      </c>
      <c r="K94" s="2">
        <f t="shared" si="2"/>
        <v>116613.999905</v>
      </c>
      <c r="L94" s="2">
        <v>111592</v>
      </c>
      <c r="M94" s="3">
        <f t="shared" si="3"/>
        <v>4.5003225186393436E-2</v>
      </c>
    </row>
    <row r="95" spans="1:14" x14ac:dyDescent="0.25">
      <c r="A95" t="s">
        <v>309</v>
      </c>
      <c r="B95" t="s">
        <v>254</v>
      </c>
      <c r="C95" t="s">
        <v>310</v>
      </c>
      <c r="D95" t="s">
        <v>13</v>
      </c>
      <c r="E95" t="s">
        <v>14</v>
      </c>
      <c r="F95" s="1">
        <v>45355</v>
      </c>
      <c r="G95" t="s">
        <v>310</v>
      </c>
      <c r="H95">
        <v>8487.8845920000003</v>
      </c>
      <c r="I95">
        <v>152</v>
      </c>
      <c r="J95">
        <v>0</v>
      </c>
      <c r="K95" s="2">
        <f t="shared" si="2"/>
        <v>116149.99968000001</v>
      </c>
      <c r="L95" s="2">
        <v>115000.00095999999</v>
      </c>
      <c r="M95" s="3">
        <f t="shared" si="3"/>
        <v>9.9999887860870995E-3</v>
      </c>
    </row>
    <row r="96" spans="1:14" x14ac:dyDescent="0.25">
      <c r="A96" t="s">
        <v>237</v>
      </c>
      <c r="B96" t="s">
        <v>118</v>
      </c>
      <c r="C96" t="s">
        <v>238</v>
      </c>
      <c r="D96" t="s">
        <v>13</v>
      </c>
      <c r="E96" t="s">
        <v>14</v>
      </c>
      <c r="F96" s="1">
        <v>44067</v>
      </c>
      <c r="G96" t="s">
        <v>238</v>
      </c>
      <c r="H96">
        <v>7551.9230559999996</v>
      </c>
      <c r="I96">
        <v>136</v>
      </c>
      <c r="J96">
        <v>0</v>
      </c>
      <c r="K96" s="2">
        <f t="shared" si="2"/>
        <v>115499.99967999999</v>
      </c>
      <c r="L96" s="2">
        <v>109999.99920000001</v>
      </c>
      <c r="M96" s="3">
        <f t="shared" si="3"/>
        <v>5.0000004727272618E-2</v>
      </c>
      <c r="N96" t="s">
        <v>1060</v>
      </c>
    </row>
    <row r="97" spans="1:13" x14ac:dyDescent="0.25">
      <c r="A97" t="s">
        <v>385</v>
      </c>
      <c r="B97" t="s">
        <v>386</v>
      </c>
      <c r="C97" t="s">
        <v>387</v>
      </c>
      <c r="D97" t="s">
        <v>13</v>
      </c>
      <c r="E97" t="s">
        <v>14</v>
      </c>
      <c r="F97" s="1">
        <v>43031</v>
      </c>
      <c r="G97" t="s">
        <v>387</v>
      </c>
      <c r="H97">
        <v>7519.2308320000002</v>
      </c>
      <c r="I97">
        <v>136</v>
      </c>
      <c r="J97">
        <v>0</v>
      </c>
      <c r="K97" s="2">
        <f t="shared" si="2"/>
        <v>115000.00096</v>
      </c>
      <c r="L97" s="2">
        <v>106653.00048</v>
      </c>
      <c r="M97" s="3">
        <f t="shared" si="3"/>
        <v>7.8263156614757134E-2</v>
      </c>
    </row>
    <row r="98" spans="1:13" x14ac:dyDescent="0.25">
      <c r="A98" t="s">
        <v>486</v>
      </c>
      <c r="B98" t="s">
        <v>94</v>
      </c>
      <c r="C98" t="s">
        <v>487</v>
      </c>
      <c r="D98" t="s">
        <v>13</v>
      </c>
      <c r="E98" t="s">
        <v>14</v>
      </c>
      <c r="F98" s="1">
        <v>45761</v>
      </c>
      <c r="G98" t="s">
        <v>487</v>
      </c>
      <c r="H98">
        <v>8403.8462240000008</v>
      </c>
      <c r="I98">
        <v>152</v>
      </c>
      <c r="J98">
        <v>0</v>
      </c>
      <c r="K98" s="2">
        <f t="shared" si="2"/>
        <v>115000.00096</v>
      </c>
      <c r="L98" s="2">
        <v>115000.00096</v>
      </c>
      <c r="M98" s="3">
        <f t="shared" si="3"/>
        <v>0</v>
      </c>
    </row>
    <row r="99" spans="1:13" x14ac:dyDescent="0.25">
      <c r="A99" t="s">
        <v>681</v>
      </c>
      <c r="B99" t="s">
        <v>201</v>
      </c>
      <c r="C99" t="s">
        <v>202</v>
      </c>
      <c r="D99" t="s">
        <v>13</v>
      </c>
      <c r="E99" t="s">
        <v>14</v>
      </c>
      <c r="F99" s="1">
        <v>45680</v>
      </c>
      <c r="G99" t="s">
        <v>202</v>
      </c>
      <c r="H99">
        <v>8403.8462240000008</v>
      </c>
      <c r="I99">
        <v>152</v>
      </c>
      <c r="J99">
        <v>0</v>
      </c>
      <c r="K99" s="2">
        <f t="shared" si="2"/>
        <v>115000.00096</v>
      </c>
      <c r="L99" s="2">
        <v>115000.00096</v>
      </c>
      <c r="M99" s="3">
        <f t="shared" si="3"/>
        <v>0</v>
      </c>
    </row>
    <row r="100" spans="1:13" x14ac:dyDescent="0.25">
      <c r="A100" t="s">
        <v>231</v>
      </c>
      <c r="B100" t="s">
        <v>232</v>
      </c>
      <c r="C100" t="s">
        <v>90</v>
      </c>
      <c r="D100" t="s">
        <v>13</v>
      </c>
      <c r="E100" t="s">
        <v>14</v>
      </c>
      <c r="F100" s="1">
        <v>45397</v>
      </c>
      <c r="G100" t="s">
        <v>90</v>
      </c>
      <c r="H100">
        <v>7040.0012800000004</v>
      </c>
      <c r="I100">
        <v>128</v>
      </c>
      <c r="J100">
        <v>0</v>
      </c>
      <c r="K100" s="2">
        <f t="shared" si="2"/>
        <v>114400.02080000001</v>
      </c>
      <c r="L100" s="2">
        <v>109999.96799999999</v>
      </c>
      <c r="M100" s="3">
        <f t="shared" si="3"/>
        <v>4.0000491636506874E-2</v>
      </c>
    </row>
    <row r="101" spans="1:13" x14ac:dyDescent="0.25">
      <c r="A101" t="s">
        <v>559</v>
      </c>
      <c r="B101" t="s">
        <v>560</v>
      </c>
      <c r="C101" t="s">
        <v>90</v>
      </c>
      <c r="D101" t="s">
        <v>13</v>
      </c>
      <c r="E101" t="s">
        <v>14</v>
      </c>
      <c r="F101" s="1">
        <v>38957</v>
      </c>
      <c r="G101" t="s">
        <v>90</v>
      </c>
      <c r="H101">
        <v>8340.9094079999995</v>
      </c>
      <c r="I101">
        <v>152</v>
      </c>
      <c r="J101">
        <v>0</v>
      </c>
      <c r="K101" s="2">
        <f t="shared" si="2"/>
        <v>114138.76031999999</v>
      </c>
      <c r="L101" s="2">
        <v>110545.76000000001</v>
      </c>
      <c r="M101" s="3">
        <f t="shared" si="3"/>
        <v>3.2502380190791325E-2</v>
      </c>
    </row>
    <row r="102" spans="1:13" x14ac:dyDescent="0.25">
      <c r="A102" t="s">
        <v>441</v>
      </c>
      <c r="B102" t="s">
        <v>232</v>
      </c>
      <c r="C102" t="s">
        <v>90</v>
      </c>
      <c r="D102" t="s">
        <v>13</v>
      </c>
      <c r="E102" t="s">
        <v>14</v>
      </c>
      <c r="F102" s="1">
        <v>45369</v>
      </c>
      <c r="G102" t="s">
        <v>90</v>
      </c>
      <c r="H102">
        <v>8279.6167760000008</v>
      </c>
      <c r="I102">
        <v>152</v>
      </c>
      <c r="J102">
        <v>0</v>
      </c>
      <c r="K102" s="2">
        <f t="shared" si="2"/>
        <v>113300.01904000001</v>
      </c>
      <c r="L102" s="2">
        <v>109999.96800000001</v>
      </c>
      <c r="M102" s="3">
        <f t="shared" si="3"/>
        <v>3.0000472727410354E-2</v>
      </c>
    </row>
    <row r="103" spans="1:13" x14ac:dyDescent="0.25">
      <c r="A103" t="s">
        <v>1037</v>
      </c>
      <c r="B103" t="s">
        <v>941</v>
      </c>
      <c r="C103" t="s">
        <v>1038</v>
      </c>
      <c r="D103" t="s">
        <v>13</v>
      </c>
      <c r="E103" t="s">
        <v>14</v>
      </c>
      <c r="F103" s="1">
        <v>42902</v>
      </c>
      <c r="G103" t="s">
        <v>1038</v>
      </c>
      <c r="H103">
        <v>8275.1548160000002</v>
      </c>
      <c r="I103">
        <v>152</v>
      </c>
      <c r="J103">
        <v>0</v>
      </c>
      <c r="K103" s="2">
        <f t="shared" si="2"/>
        <v>113238.96064</v>
      </c>
      <c r="L103" s="2">
        <v>107846.95999999999</v>
      </c>
      <c r="M103" s="3">
        <f t="shared" si="3"/>
        <v>4.9996779139625414E-2</v>
      </c>
    </row>
    <row r="104" spans="1:13" x14ac:dyDescent="0.25">
      <c r="A104" t="s">
        <v>773</v>
      </c>
      <c r="B104" t="s">
        <v>118</v>
      </c>
      <c r="C104" t="s">
        <v>774</v>
      </c>
      <c r="D104" t="s">
        <v>13</v>
      </c>
      <c r="E104" t="s">
        <v>14</v>
      </c>
      <c r="F104" s="1">
        <v>36577</v>
      </c>
      <c r="G104" t="s">
        <v>774</v>
      </c>
      <c r="H104">
        <v>6954.8449280000004</v>
      </c>
      <c r="I104">
        <v>128</v>
      </c>
      <c r="J104">
        <v>0</v>
      </c>
      <c r="K104" s="2">
        <f t="shared" si="2"/>
        <v>113016.23008000001</v>
      </c>
      <c r="L104" s="2">
        <v>109724.23071999999</v>
      </c>
      <c r="M104" s="3">
        <f t="shared" si="3"/>
        <v>3.0002482937435238E-2</v>
      </c>
    </row>
    <row r="105" spans="1:13" x14ac:dyDescent="0.25">
      <c r="A105" t="s">
        <v>535</v>
      </c>
      <c r="B105" t="s">
        <v>94</v>
      </c>
      <c r="C105" t="s">
        <v>536</v>
      </c>
      <c r="D105" t="s">
        <v>13</v>
      </c>
      <c r="E105" t="s">
        <v>14</v>
      </c>
      <c r="F105" s="1">
        <v>39125</v>
      </c>
      <c r="G105" t="s">
        <v>536</v>
      </c>
      <c r="H105">
        <v>7276.261528</v>
      </c>
      <c r="I105">
        <v>136</v>
      </c>
      <c r="J105">
        <v>0</v>
      </c>
      <c r="K105" s="2">
        <f t="shared" si="2"/>
        <v>111283.99984</v>
      </c>
      <c r="L105" s="2">
        <v>107499.99936</v>
      </c>
      <c r="M105" s="3">
        <f t="shared" si="3"/>
        <v>3.5200004674679208E-2</v>
      </c>
    </row>
    <row r="106" spans="1:13" x14ac:dyDescent="0.25">
      <c r="A106" t="s">
        <v>91</v>
      </c>
      <c r="B106" t="s">
        <v>92</v>
      </c>
      <c r="C106" t="s">
        <v>36</v>
      </c>
      <c r="D106" t="s">
        <v>13</v>
      </c>
      <c r="E106" t="s">
        <v>14</v>
      </c>
      <c r="F106" s="1">
        <v>38845</v>
      </c>
      <c r="G106" t="s">
        <v>36</v>
      </c>
      <c r="H106">
        <v>7675.5461759999998</v>
      </c>
      <c r="I106">
        <v>144</v>
      </c>
      <c r="J106">
        <v>0</v>
      </c>
      <c r="K106" s="2">
        <f t="shared" si="2"/>
        <v>110869.00031999999</v>
      </c>
      <c r="L106" s="2">
        <v>107640</v>
      </c>
      <c r="M106" s="3">
        <f t="shared" si="3"/>
        <v>2.9998144927536163E-2</v>
      </c>
    </row>
    <row r="107" spans="1:13" x14ac:dyDescent="0.25">
      <c r="A107" t="s">
        <v>800</v>
      </c>
      <c r="B107" t="s">
        <v>351</v>
      </c>
      <c r="C107" t="s">
        <v>354</v>
      </c>
      <c r="D107" t="s">
        <v>13</v>
      </c>
      <c r="E107" t="s">
        <v>14</v>
      </c>
      <c r="F107" s="1">
        <v>39006</v>
      </c>
      <c r="G107" t="s">
        <v>354</v>
      </c>
      <c r="H107">
        <v>8075.292297</v>
      </c>
      <c r="I107">
        <v>152</v>
      </c>
      <c r="J107">
        <v>0</v>
      </c>
      <c r="K107" s="2">
        <f t="shared" si="2"/>
        <v>110503.9998536842</v>
      </c>
      <c r="L107" s="2">
        <v>107285.00020160001</v>
      </c>
      <c r="M107" s="3">
        <f t="shared" si="3"/>
        <v>3.000419113608932E-2</v>
      </c>
    </row>
    <row r="108" spans="1:13" x14ac:dyDescent="0.25">
      <c r="A108" t="s">
        <v>793</v>
      </c>
      <c r="B108" t="s">
        <v>254</v>
      </c>
      <c r="C108" t="s">
        <v>794</v>
      </c>
      <c r="D108" t="s">
        <v>13</v>
      </c>
      <c r="E108" t="s">
        <v>14</v>
      </c>
      <c r="F108" s="1">
        <v>45852</v>
      </c>
      <c r="G108" t="s">
        <v>794</v>
      </c>
      <c r="H108">
        <v>4230.7691999999997</v>
      </c>
      <c r="I108">
        <v>80</v>
      </c>
      <c r="J108">
        <v>0</v>
      </c>
      <c r="K108" s="2">
        <f t="shared" si="2"/>
        <v>109999.99919999999</v>
      </c>
      <c r="L108" s="2" t="e">
        <v>#N/A</v>
      </c>
      <c r="M108" s="3">
        <f t="shared" si="3"/>
        <v>0</v>
      </c>
    </row>
    <row r="109" spans="1:13" x14ac:dyDescent="0.25">
      <c r="A109" t="s">
        <v>546</v>
      </c>
      <c r="B109" t="s">
        <v>547</v>
      </c>
      <c r="C109" t="s">
        <v>548</v>
      </c>
      <c r="D109" t="s">
        <v>13</v>
      </c>
      <c r="E109" t="s">
        <v>14</v>
      </c>
      <c r="F109" s="1">
        <v>42268</v>
      </c>
      <c r="G109" t="s">
        <v>548</v>
      </c>
      <c r="H109">
        <v>7487.7008960000003</v>
      </c>
      <c r="I109">
        <v>142</v>
      </c>
      <c r="J109">
        <v>0</v>
      </c>
      <c r="K109" s="2">
        <f t="shared" si="2"/>
        <v>109678.99904000001</v>
      </c>
      <c r="L109" s="2">
        <v>106484.00048000002</v>
      </c>
      <c r="M109" s="3">
        <f t="shared" si="3"/>
        <v>3.0004494061059317E-2</v>
      </c>
    </row>
    <row r="110" spans="1:13" x14ac:dyDescent="0.25">
      <c r="A110" t="s">
        <v>926</v>
      </c>
      <c r="B110" t="s">
        <v>547</v>
      </c>
      <c r="C110" t="s">
        <v>26</v>
      </c>
      <c r="D110" t="s">
        <v>13</v>
      </c>
      <c r="E110" t="s">
        <v>14</v>
      </c>
      <c r="F110" s="1">
        <v>33248</v>
      </c>
      <c r="G110" t="s">
        <v>26</v>
      </c>
      <c r="H110">
        <v>6733.0018559999999</v>
      </c>
      <c r="I110">
        <v>128</v>
      </c>
      <c r="J110">
        <v>0</v>
      </c>
      <c r="K110" s="2">
        <f t="shared" si="2"/>
        <v>109411.28015999999</v>
      </c>
      <c r="L110" s="2">
        <v>106951.28079999999</v>
      </c>
      <c r="M110" s="3">
        <f t="shared" si="3"/>
        <v>2.3001121086153375E-2</v>
      </c>
    </row>
    <row r="111" spans="1:13" x14ac:dyDescent="0.25">
      <c r="A111" t="s">
        <v>1019</v>
      </c>
      <c r="B111" t="s">
        <v>1020</v>
      </c>
      <c r="C111" t="s">
        <v>712</v>
      </c>
      <c r="D111" t="s">
        <v>13</v>
      </c>
      <c r="E111" t="s">
        <v>14</v>
      </c>
      <c r="F111" s="1">
        <v>45292</v>
      </c>
      <c r="G111" t="s">
        <v>712</v>
      </c>
      <c r="H111">
        <v>5878.9187519999996</v>
      </c>
      <c r="I111">
        <v>112</v>
      </c>
      <c r="J111">
        <v>0</v>
      </c>
      <c r="K111" s="2">
        <f t="shared" si="2"/>
        <v>109179.91968000001</v>
      </c>
      <c r="L111" s="2">
        <v>105999.92</v>
      </c>
      <c r="M111" s="3">
        <f t="shared" si="3"/>
        <v>3.0000019622656415E-2</v>
      </c>
    </row>
    <row r="112" spans="1:13" x14ac:dyDescent="0.25">
      <c r="A112" t="s">
        <v>198</v>
      </c>
      <c r="B112" t="s">
        <v>74</v>
      </c>
      <c r="C112" t="s">
        <v>199</v>
      </c>
      <c r="D112" t="s">
        <v>13</v>
      </c>
      <c r="E112" t="s">
        <v>14</v>
      </c>
      <c r="F112" s="1">
        <v>44648</v>
      </c>
      <c r="G112" t="s">
        <v>199</v>
      </c>
      <c r="H112">
        <v>5415.0000319999999</v>
      </c>
      <c r="I112">
        <v>104</v>
      </c>
      <c r="J112">
        <v>0</v>
      </c>
      <c r="K112" s="2">
        <f t="shared" si="2"/>
        <v>108300.00064</v>
      </c>
      <c r="L112" s="2">
        <v>105116.99952</v>
      </c>
      <c r="M112" s="3">
        <f t="shared" si="3"/>
        <v>3.0280555329153858E-2</v>
      </c>
    </row>
    <row r="113" spans="1:13" x14ac:dyDescent="0.25">
      <c r="A113" t="s">
        <v>88</v>
      </c>
      <c r="B113" t="s">
        <v>89</v>
      </c>
      <c r="C113" t="s">
        <v>90</v>
      </c>
      <c r="D113" t="s">
        <v>13</v>
      </c>
      <c r="E113" t="s">
        <v>14</v>
      </c>
      <c r="F113" s="1">
        <v>45376</v>
      </c>
      <c r="G113" t="s">
        <v>90</v>
      </c>
      <c r="H113">
        <v>7487.307648</v>
      </c>
      <c r="I113">
        <v>144</v>
      </c>
      <c r="J113">
        <v>0</v>
      </c>
      <c r="K113" s="2">
        <f t="shared" si="2"/>
        <v>108149.99936</v>
      </c>
      <c r="L113" s="2">
        <v>104999.99952000001</v>
      </c>
      <c r="M113" s="3">
        <f t="shared" si="3"/>
        <v>2.9999998613333245E-2</v>
      </c>
    </row>
    <row r="114" spans="1:13" x14ac:dyDescent="0.25">
      <c r="A114" t="s">
        <v>922</v>
      </c>
      <c r="B114" t="s">
        <v>923</v>
      </c>
      <c r="C114" t="s">
        <v>924</v>
      </c>
      <c r="D114" t="s">
        <v>13</v>
      </c>
      <c r="E114" t="s">
        <v>14</v>
      </c>
      <c r="F114" s="1">
        <v>45544</v>
      </c>
      <c r="G114" t="s">
        <v>924</v>
      </c>
      <c r="H114">
        <v>7071.3461120000002</v>
      </c>
      <c r="I114">
        <v>136</v>
      </c>
      <c r="J114">
        <v>0</v>
      </c>
      <c r="K114" s="2">
        <f t="shared" si="2"/>
        <v>108149.99936</v>
      </c>
      <c r="L114" s="2">
        <v>104999.99952</v>
      </c>
      <c r="M114" s="3">
        <f t="shared" si="3"/>
        <v>2.9999998613333467E-2</v>
      </c>
    </row>
    <row r="115" spans="1:13" x14ac:dyDescent="0.25">
      <c r="A115" t="s">
        <v>672</v>
      </c>
      <c r="B115" t="s">
        <v>16</v>
      </c>
      <c r="C115" t="s">
        <v>36</v>
      </c>
      <c r="D115" t="s">
        <v>13</v>
      </c>
      <c r="E115" t="s">
        <v>14</v>
      </c>
      <c r="F115" s="1">
        <v>35650</v>
      </c>
      <c r="G115" t="s">
        <v>36</v>
      </c>
      <c r="H115">
        <v>4155.1153599999998</v>
      </c>
      <c r="I115">
        <v>80</v>
      </c>
      <c r="J115">
        <v>0</v>
      </c>
      <c r="K115" s="2">
        <f t="shared" si="2"/>
        <v>108032.99935999999</v>
      </c>
      <c r="L115" s="2">
        <v>104379.99935999999</v>
      </c>
      <c r="M115" s="3">
        <f t="shared" si="3"/>
        <v>3.4997126100767995E-2</v>
      </c>
    </row>
    <row r="116" spans="1:13" x14ac:dyDescent="0.25">
      <c r="A116" t="s">
        <v>151</v>
      </c>
      <c r="B116" t="s">
        <v>152</v>
      </c>
      <c r="C116" t="s">
        <v>153</v>
      </c>
      <c r="D116" t="s">
        <v>13</v>
      </c>
      <c r="E116" t="s">
        <v>14</v>
      </c>
      <c r="F116" s="1">
        <v>40452</v>
      </c>
      <c r="G116" t="s">
        <v>153</v>
      </c>
      <c r="H116">
        <v>7437.6830879999998</v>
      </c>
      <c r="I116">
        <v>144</v>
      </c>
      <c r="J116">
        <v>0</v>
      </c>
      <c r="K116" s="2">
        <f t="shared" si="2"/>
        <v>107433.20015999999</v>
      </c>
      <c r="L116" s="2">
        <v>104304.09599999999</v>
      </c>
      <c r="M116" s="3">
        <f t="shared" si="3"/>
        <v>2.9999820524785559E-2</v>
      </c>
    </row>
    <row r="117" spans="1:13" x14ac:dyDescent="0.25">
      <c r="A117" t="s">
        <v>929</v>
      </c>
      <c r="B117" t="s">
        <v>491</v>
      </c>
      <c r="C117" t="s">
        <v>930</v>
      </c>
      <c r="D117" t="s">
        <v>13</v>
      </c>
      <c r="E117" t="s">
        <v>14</v>
      </c>
      <c r="F117" s="1">
        <v>42548</v>
      </c>
      <c r="G117" t="s">
        <v>930</v>
      </c>
      <c r="H117">
        <v>7429.635072</v>
      </c>
      <c r="I117">
        <v>144</v>
      </c>
      <c r="J117">
        <v>0</v>
      </c>
      <c r="K117" s="2">
        <f t="shared" si="2"/>
        <v>107316.95104</v>
      </c>
      <c r="L117" s="2">
        <v>104190.95024000001</v>
      </c>
      <c r="M117" s="3">
        <f t="shared" si="3"/>
        <v>3.000261340163779E-2</v>
      </c>
    </row>
    <row r="118" spans="1:13" x14ac:dyDescent="0.25">
      <c r="A118" t="s">
        <v>780</v>
      </c>
      <c r="B118" t="s">
        <v>579</v>
      </c>
      <c r="C118" t="s">
        <v>781</v>
      </c>
      <c r="D118" t="s">
        <v>13</v>
      </c>
      <c r="E118" t="s">
        <v>14</v>
      </c>
      <c r="F118" s="1">
        <v>41120</v>
      </c>
      <c r="G118" t="s">
        <v>781</v>
      </c>
      <c r="H118">
        <v>7788.1731120000004</v>
      </c>
      <c r="I118">
        <v>152</v>
      </c>
      <c r="J118">
        <v>0</v>
      </c>
      <c r="K118" s="2">
        <f t="shared" si="2"/>
        <v>106575.00048</v>
      </c>
      <c r="L118" s="2">
        <v>103470.99984000002</v>
      </c>
      <c r="M118" s="3">
        <f t="shared" si="3"/>
        <v>2.9998749841016137E-2</v>
      </c>
    </row>
    <row r="119" spans="1:13" x14ac:dyDescent="0.25">
      <c r="A119" t="s">
        <v>15</v>
      </c>
      <c r="B119" t="s">
        <v>16</v>
      </c>
      <c r="C119" t="s">
        <v>17</v>
      </c>
      <c r="D119" t="s">
        <v>13</v>
      </c>
      <c r="E119" t="s">
        <v>14</v>
      </c>
      <c r="F119" s="1">
        <v>34337</v>
      </c>
      <c r="G119" t="s">
        <v>17</v>
      </c>
      <c r="H119">
        <v>5284.2944960000004</v>
      </c>
      <c r="I119">
        <v>104</v>
      </c>
      <c r="J119">
        <v>0</v>
      </c>
      <c r="K119" s="2">
        <f t="shared" si="2"/>
        <v>105685.88992000002</v>
      </c>
      <c r="L119" s="2">
        <v>102607.88928</v>
      </c>
      <c r="M119" s="3">
        <f t="shared" si="3"/>
        <v>2.9997699607684725E-2</v>
      </c>
    </row>
    <row r="120" spans="1:13" x14ac:dyDescent="0.25">
      <c r="A120" t="s">
        <v>58</v>
      </c>
      <c r="B120" t="s">
        <v>59</v>
      </c>
      <c r="C120" t="s">
        <v>60</v>
      </c>
      <c r="D120" t="s">
        <v>13</v>
      </c>
      <c r="E120" t="s">
        <v>14</v>
      </c>
      <c r="F120" s="1">
        <v>44314</v>
      </c>
      <c r="G120" t="s">
        <v>60</v>
      </c>
      <c r="H120">
        <v>7690.7614800000001</v>
      </c>
      <c r="I120">
        <v>152</v>
      </c>
      <c r="J120">
        <v>0</v>
      </c>
      <c r="K120" s="2">
        <f t="shared" si="2"/>
        <v>105241.99920000001</v>
      </c>
      <c r="L120" s="2">
        <v>101764.00000000001</v>
      </c>
      <c r="M120" s="3">
        <f t="shared" si="3"/>
        <v>3.4177107818088803E-2</v>
      </c>
    </row>
    <row r="121" spans="1:13" x14ac:dyDescent="0.25">
      <c r="A121" t="s">
        <v>1015</v>
      </c>
      <c r="B121" t="s">
        <v>315</v>
      </c>
      <c r="C121" t="s">
        <v>705</v>
      </c>
      <c r="D121" t="s">
        <v>13</v>
      </c>
      <c r="E121" t="s">
        <v>14</v>
      </c>
      <c r="F121" s="1">
        <v>40903</v>
      </c>
      <c r="G121" t="s">
        <v>705</v>
      </c>
      <c r="H121">
        <v>7209.3434399999996</v>
      </c>
      <c r="I121">
        <v>144</v>
      </c>
      <c r="J121">
        <v>0</v>
      </c>
      <c r="K121" s="2">
        <f t="shared" si="2"/>
        <v>104134.9608</v>
      </c>
      <c r="L121" s="2">
        <v>101724.064</v>
      </c>
      <c r="M121" s="3">
        <f t="shared" si="3"/>
        <v>2.3700358648667486E-2</v>
      </c>
    </row>
    <row r="122" spans="1:13" x14ac:dyDescent="0.25">
      <c r="A122" t="s">
        <v>607</v>
      </c>
      <c r="B122" t="s">
        <v>608</v>
      </c>
      <c r="C122" t="s">
        <v>381</v>
      </c>
      <c r="D122" t="s">
        <v>13</v>
      </c>
      <c r="E122" t="s">
        <v>14</v>
      </c>
      <c r="F122" s="1">
        <v>42374</v>
      </c>
      <c r="G122" t="s">
        <v>381</v>
      </c>
      <c r="H122">
        <v>6922.9381199999998</v>
      </c>
      <c r="I122">
        <v>140</v>
      </c>
      <c r="J122">
        <v>0</v>
      </c>
      <c r="K122" s="2">
        <f t="shared" si="2"/>
        <v>102855.08064</v>
      </c>
      <c r="L122" s="2">
        <v>99377.079359999989</v>
      </c>
      <c r="M122" s="3">
        <f t="shared" si="3"/>
        <v>3.4998022707034115E-2</v>
      </c>
    </row>
    <row r="123" spans="1:13" x14ac:dyDescent="0.25">
      <c r="A123" t="s">
        <v>842</v>
      </c>
      <c r="B123" t="s">
        <v>843</v>
      </c>
      <c r="C123" t="s">
        <v>90</v>
      </c>
      <c r="D123" t="s">
        <v>13</v>
      </c>
      <c r="E123" t="s">
        <v>14</v>
      </c>
      <c r="F123" s="1">
        <v>45355</v>
      </c>
      <c r="G123" t="s">
        <v>90</v>
      </c>
      <c r="H123">
        <v>7490.3845920000003</v>
      </c>
      <c r="I123">
        <v>152</v>
      </c>
      <c r="J123">
        <v>0</v>
      </c>
      <c r="K123" s="2">
        <f t="shared" si="2"/>
        <v>102499.99968000001</v>
      </c>
      <c r="L123" s="2">
        <v>99999.952000000019</v>
      </c>
      <c r="M123" s="3">
        <f t="shared" si="3"/>
        <v>2.5000488800234422E-2</v>
      </c>
    </row>
    <row r="124" spans="1:13" x14ac:dyDescent="0.25">
      <c r="A124" t="s">
        <v>24</v>
      </c>
      <c r="B124" t="s">
        <v>25</v>
      </c>
      <c r="C124" t="s">
        <v>26</v>
      </c>
      <c r="D124" t="s">
        <v>13</v>
      </c>
      <c r="E124" t="s">
        <v>14</v>
      </c>
      <c r="F124" s="1">
        <v>40787</v>
      </c>
      <c r="G124" t="s">
        <v>26</v>
      </c>
      <c r="H124">
        <v>7472.7</v>
      </c>
      <c r="I124">
        <v>152</v>
      </c>
      <c r="J124">
        <v>0</v>
      </c>
      <c r="K124" s="2">
        <f t="shared" si="2"/>
        <v>102258</v>
      </c>
      <c r="L124" s="2">
        <v>98800</v>
      </c>
      <c r="M124" s="3">
        <f t="shared" si="3"/>
        <v>3.499999999999992E-2</v>
      </c>
    </row>
    <row r="125" spans="1:13" x14ac:dyDescent="0.25">
      <c r="A125" t="s">
        <v>830</v>
      </c>
      <c r="B125" t="s">
        <v>635</v>
      </c>
      <c r="C125" t="s">
        <v>705</v>
      </c>
      <c r="D125" t="s">
        <v>13</v>
      </c>
      <c r="E125" t="s">
        <v>14</v>
      </c>
      <c r="F125" s="1">
        <v>45544</v>
      </c>
      <c r="G125" t="s">
        <v>705</v>
      </c>
      <c r="H125">
        <v>4707.692352</v>
      </c>
      <c r="I125">
        <v>96</v>
      </c>
      <c r="J125">
        <v>0</v>
      </c>
      <c r="K125" s="2">
        <f t="shared" si="2"/>
        <v>102000.00096</v>
      </c>
      <c r="L125" s="2">
        <v>99999.999839999989</v>
      </c>
      <c r="M125" s="3">
        <f t="shared" si="3"/>
        <v>2.0000011232000237E-2</v>
      </c>
    </row>
    <row r="126" spans="1:13" x14ac:dyDescent="0.25">
      <c r="A126" t="s">
        <v>343</v>
      </c>
      <c r="B126" t="s">
        <v>254</v>
      </c>
      <c r="C126" t="s">
        <v>344</v>
      </c>
      <c r="D126" t="s">
        <v>13</v>
      </c>
      <c r="E126" t="s">
        <v>14</v>
      </c>
      <c r="F126" s="1">
        <v>45558</v>
      </c>
      <c r="G126" t="s">
        <v>344</v>
      </c>
      <c r="H126">
        <v>5884.6154399999996</v>
      </c>
      <c r="I126">
        <v>120</v>
      </c>
      <c r="J126">
        <v>0</v>
      </c>
      <c r="K126" s="2">
        <f t="shared" si="2"/>
        <v>102000.00095999999</v>
      </c>
      <c r="L126" s="2">
        <v>99999.999840000019</v>
      </c>
      <c r="M126" s="3">
        <f t="shared" si="3"/>
        <v>2.0000011231999792E-2</v>
      </c>
    </row>
    <row r="127" spans="1:13" x14ac:dyDescent="0.25">
      <c r="A127" t="s">
        <v>777</v>
      </c>
      <c r="B127" t="s">
        <v>778</v>
      </c>
      <c r="C127" t="s">
        <v>779</v>
      </c>
      <c r="D127" t="s">
        <v>13</v>
      </c>
      <c r="E127" t="s">
        <v>14</v>
      </c>
      <c r="F127" s="1">
        <v>43059</v>
      </c>
      <c r="G127" t="s">
        <v>779</v>
      </c>
      <c r="H127">
        <v>7449.607704</v>
      </c>
      <c r="I127">
        <v>152</v>
      </c>
      <c r="J127">
        <v>0</v>
      </c>
      <c r="K127" s="2">
        <f t="shared" si="2"/>
        <v>101942.00016</v>
      </c>
      <c r="L127" s="2">
        <v>98494.999199999991</v>
      </c>
      <c r="M127" s="3">
        <f t="shared" si="3"/>
        <v>3.4996710371058226E-2</v>
      </c>
    </row>
    <row r="128" spans="1:13" x14ac:dyDescent="0.25">
      <c r="A128" t="s">
        <v>330</v>
      </c>
      <c r="B128" t="s">
        <v>331</v>
      </c>
      <c r="C128" t="s">
        <v>90</v>
      </c>
      <c r="D128" t="s">
        <v>13</v>
      </c>
      <c r="E128" t="s">
        <v>14</v>
      </c>
      <c r="F128" s="1">
        <v>39091</v>
      </c>
      <c r="G128" t="s">
        <v>90</v>
      </c>
      <c r="H128">
        <v>7028.2905119999996</v>
      </c>
      <c r="I128">
        <v>144</v>
      </c>
      <c r="J128">
        <v>0</v>
      </c>
      <c r="K128" s="2">
        <f t="shared" si="2"/>
        <v>101519.75184</v>
      </c>
      <c r="L128" s="2">
        <v>98562.751040000003</v>
      </c>
      <c r="M128" s="3">
        <f t="shared" si="3"/>
        <v>3.0001199934039491E-2</v>
      </c>
    </row>
    <row r="129" spans="1:13" x14ac:dyDescent="0.25">
      <c r="A129" t="s">
        <v>532</v>
      </c>
      <c r="B129" t="s">
        <v>533</v>
      </c>
      <c r="C129" t="s">
        <v>90</v>
      </c>
      <c r="D129" t="s">
        <v>13</v>
      </c>
      <c r="E129" t="s">
        <v>14</v>
      </c>
      <c r="F129" s="1">
        <v>45558</v>
      </c>
      <c r="G129" t="s">
        <v>90</v>
      </c>
      <c r="H129">
        <v>5075.000008</v>
      </c>
      <c r="I129">
        <v>104</v>
      </c>
      <c r="J129">
        <v>0</v>
      </c>
      <c r="K129" s="2">
        <f t="shared" si="2"/>
        <v>101500.00016</v>
      </c>
      <c r="L129" s="2">
        <v>99999.999840000004</v>
      </c>
      <c r="M129" s="3">
        <f t="shared" si="3"/>
        <v>1.5000003223999858E-2</v>
      </c>
    </row>
    <row r="130" spans="1:13" x14ac:dyDescent="0.25">
      <c r="A130" t="s">
        <v>974</v>
      </c>
      <c r="B130" t="s">
        <v>102</v>
      </c>
      <c r="C130" t="s">
        <v>36</v>
      </c>
      <c r="D130" t="s">
        <v>13</v>
      </c>
      <c r="E130" t="s">
        <v>14</v>
      </c>
      <c r="F130" s="1">
        <v>38229</v>
      </c>
      <c r="G130" t="s">
        <v>36</v>
      </c>
      <c r="H130">
        <v>5425.84</v>
      </c>
      <c r="I130">
        <v>112</v>
      </c>
      <c r="J130">
        <v>0</v>
      </c>
      <c r="K130" s="2">
        <f t="shared" ref="K130:K193" si="4">(2080/I130)*H130</f>
        <v>100765.6</v>
      </c>
      <c r="L130" s="2">
        <v>97830.599433628318</v>
      </c>
      <c r="M130" s="3">
        <f t="shared" si="3"/>
        <v>3.0000844146548467E-2</v>
      </c>
    </row>
    <row r="131" spans="1:13" x14ac:dyDescent="0.25">
      <c r="A131" t="s">
        <v>493</v>
      </c>
      <c r="B131" t="s">
        <v>494</v>
      </c>
      <c r="C131" t="s">
        <v>258</v>
      </c>
      <c r="D131" t="s">
        <v>13</v>
      </c>
      <c r="E131" t="s">
        <v>14</v>
      </c>
      <c r="F131" s="1">
        <v>35751</v>
      </c>
      <c r="G131" t="s">
        <v>258</v>
      </c>
      <c r="H131">
        <v>6570.7889999999998</v>
      </c>
      <c r="I131">
        <v>136</v>
      </c>
      <c r="J131">
        <v>0</v>
      </c>
      <c r="K131" s="2">
        <f t="shared" si="4"/>
        <v>100494.42</v>
      </c>
      <c r="L131" s="2">
        <v>97567.419040000008</v>
      </c>
      <c r="M131" s="3">
        <f t="shared" ref="M131:M194" si="5">IFERROR((K131/L131)-1,0)</f>
        <v>2.9999778499828933E-2</v>
      </c>
    </row>
    <row r="132" spans="1:13" x14ac:dyDescent="0.25">
      <c r="A132" t="s">
        <v>709</v>
      </c>
      <c r="B132" t="s">
        <v>710</v>
      </c>
      <c r="C132" t="s">
        <v>153</v>
      </c>
      <c r="D132" t="s">
        <v>13</v>
      </c>
      <c r="E132" t="s">
        <v>14</v>
      </c>
      <c r="F132" s="1">
        <v>43507</v>
      </c>
      <c r="G132" t="s">
        <v>153</v>
      </c>
      <c r="H132">
        <v>5788.4907599999997</v>
      </c>
      <c r="I132">
        <v>120</v>
      </c>
      <c r="J132">
        <v>0</v>
      </c>
      <c r="K132" s="2">
        <f t="shared" si="4"/>
        <v>100333.83983999999</v>
      </c>
      <c r="L132" s="2">
        <v>98366.944000000018</v>
      </c>
      <c r="M132" s="3">
        <f t="shared" si="5"/>
        <v>1.9995496047940264E-2</v>
      </c>
    </row>
    <row r="133" spans="1:13" x14ac:dyDescent="0.25">
      <c r="A133" t="s">
        <v>555</v>
      </c>
      <c r="B133" t="s">
        <v>347</v>
      </c>
      <c r="C133" t="s">
        <v>60</v>
      </c>
      <c r="D133" t="s">
        <v>13</v>
      </c>
      <c r="E133" t="s">
        <v>14</v>
      </c>
      <c r="F133" s="1">
        <v>42877</v>
      </c>
      <c r="G133" t="s">
        <v>60</v>
      </c>
      <c r="H133">
        <v>5769.2307600000004</v>
      </c>
      <c r="I133">
        <v>120</v>
      </c>
      <c r="J133">
        <v>0</v>
      </c>
      <c r="K133" s="2">
        <f t="shared" si="4"/>
        <v>99999.999840000004</v>
      </c>
      <c r="L133" s="2">
        <v>97500</v>
      </c>
      <c r="M133" s="3">
        <f t="shared" si="5"/>
        <v>2.5641024000000012E-2</v>
      </c>
    </row>
    <row r="134" spans="1:13" x14ac:dyDescent="0.25">
      <c r="A134" t="s">
        <v>1004</v>
      </c>
      <c r="B134" t="s">
        <v>1005</v>
      </c>
      <c r="C134" t="s">
        <v>387</v>
      </c>
      <c r="D134" t="s">
        <v>13</v>
      </c>
      <c r="E134" t="s">
        <v>14</v>
      </c>
      <c r="F134" s="1">
        <v>45680</v>
      </c>
      <c r="G134" t="s">
        <v>387</v>
      </c>
      <c r="H134">
        <v>6923.0769120000004</v>
      </c>
      <c r="I134">
        <v>144</v>
      </c>
      <c r="J134">
        <v>0</v>
      </c>
      <c r="K134" s="2">
        <f t="shared" si="4"/>
        <v>99999.999840000004</v>
      </c>
      <c r="L134" s="2">
        <v>90000.000480000002</v>
      </c>
      <c r="M134" s="3">
        <f t="shared" si="5"/>
        <v>0.11111110340740749</v>
      </c>
    </row>
    <row r="135" spans="1:13" x14ac:dyDescent="0.25">
      <c r="A135" t="s">
        <v>359</v>
      </c>
      <c r="B135" t="s">
        <v>360</v>
      </c>
      <c r="C135" t="s">
        <v>82</v>
      </c>
      <c r="D135" t="s">
        <v>13</v>
      </c>
      <c r="E135" t="s">
        <v>14</v>
      </c>
      <c r="F135" s="1">
        <v>45831</v>
      </c>
      <c r="G135" t="s">
        <v>82</v>
      </c>
      <c r="H135">
        <v>7271.1537760000001</v>
      </c>
      <c r="I135">
        <v>152</v>
      </c>
      <c r="J135">
        <v>0</v>
      </c>
      <c r="K135" s="2">
        <f t="shared" si="4"/>
        <v>99499.999039999995</v>
      </c>
      <c r="L135" s="2">
        <v>99499.99904000001</v>
      </c>
      <c r="M135" s="3">
        <f t="shared" si="5"/>
        <v>-1.1102230246251565E-16</v>
      </c>
    </row>
    <row r="136" spans="1:13" x14ac:dyDescent="0.25">
      <c r="A136" t="s">
        <v>507</v>
      </c>
      <c r="B136" t="s">
        <v>118</v>
      </c>
      <c r="C136" t="s">
        <v>508</v>
      </c>
      <c r="D136" t="s">
        <v>13</v>
      </c>
      <c r="E136" t="s">
        <v>14</v>
      </c>
      <c r="F136" s="1">
        <v>33280</v>
      </c>
      <c r="G136" t="s">
        <v>508</v>
      </c>
      <c r="H136">
        <v>6453.4936239999997</v>
      </c>
      <c r="I136">
        <v>136</v>
      </c>
      <c r="J136">
        <v>0</v>
      </c>
      <c r="K136" s="2">
        <f t="shared" si="4"/>
        <v>98700.490720000002</v>
      </c>
      <c r="L136" s="2">
        <v>95793.491039999994</v>
      </c>
      <c r="M136" s="3">
        <f t="shared" si="5"/>
        <v>3.0346526141177499E-2</v>
      </c>
    </row>
    <row r="137" spans="1:13" x14ac:dyDescent="0.25">
      <c r="A137" t="s">
        <v>568</v>
      </c>
      <c r="B137" t="s">
        <v>569</v>
      </c>
      <c r="C137" t="s">
        <v>153</v>
      </c>
      <c r="D137" t="s">
        <v>13</v>
      </c>
      <c r="E137" t="s">
        <v>14</v>
      </c>
      <c r="F137" s="1">
        <v>45397</v>
      </c>
      <c r="G137" t="s">
        <v>153</v>
      </c>
      <c r="H137">
        <v>7150.5768879999996</v>
      </c>
      <c r="I137">
        <v>152</v>
      </c>
      <c r="J137">
        <v>0</v>
      </c>
      <c r="K137" s="2">
        <f t="shared" si="4"/>
        <v>97849.999519999998</v>
      </c>
      <c r="L137" s="2">
        <v>95000.000159999996</v>
      </c>
      <c r="M137" s="3">
        <f t="shared" si="5"/>
        <v>2.9999993212631582E-2</v>
      </c>
    </row>
    <row r="138" spans="1:13" x14ac:dyDescent="0.25">
      <c r="A138" t="s">
        <v>989</v>
      </c>
      <c r="B138" t="s">
        <v>201</v>
      </c>
      <c r="C138" t="s">
        <v>527</v>
      </c>
      <c r="D138" t="s">
        <v>13</v>
      </c>
      <c r="E138" t="s">
        <v>14</v>
      </c>
      <c r="F138" s="1">
        <v>44340</v>
      </c>
      <c r="G138" t="s">
        <v>527</v>
      </c>
      <c r="H138">
        <v>7144.4385199999997</v>
      </c>
      <c r="I138">
        <v>152</v>
      </c>
      <c r="J138">
        <v>0</v>
      </c>
      <c r="K138" s="2">
        <f t="shared" si="4"/>
        <v>97766.000799999994</v>
      </c>
      <c r="L138" s="2">
        <v>93779.99904000001</v>
      </c>
      <c r="M138" s="3">
        <f t="shared" si="5"/>
        <v>4.250375134147566E-2</v>
      </c>
    </row>
    <row r="139" spans="1:13" x14ac:dyDescent="0.25">
      <c r="A139" t="s">
        <v>425</v>
      </c>
      <c r="B139" t="s">
        <v>182</v>
      </c>
      <c r="C139" t="s">
        <v>426</v>
      </c>
      <c r="D139" t="s">
        <v>13</v>
      </c>
      <c r="E139" t="s">
        <v>14</v>
      </c>
      <c r="F139" s="1">
        <v>36607</v>
      </c>
      <c r="G139" t="s">
        <v>426</v>
      </c>
      <c r="H139">
        <v>7113.92148</v>
      </c>
      <c r="I139">
        <v>152</v>
      </c>
      <c r="J139">
        <v>0</v>
      </c>
      <c r="K139" s="2">
        <f t="shared" si="4"/>
        <v>97348.3992</v>
      </c>
      <c r="L139" s="2">
        <v>94513.400799999989</v>
      </c>
      <c r="M139" s="3">
        <f t="shared" si="5"/>
        <v>2.9995729452156228E-2</v>
      </c>
    </row>
    <row r="140" spans="1:13" x14ac:dyDescent="0.25">
      <c r="A140" t="s">
        <v>170</v>
      </c>
      <c r="B140" t="s">
        <v>159</v>
      </c>
      <c r="C140" t="s">
        <v>171</v>
      </c>
      <c r="D140" t="s">
        <v>13</v>
      </c>
      <c r="E140" t="s">
        <v>14</v>
      </c>
      <c r="F140" s="1">
        <v>44494</v>
      </c>
      <c r="G140" t="s">
        <v>171</v>
      </c>
      <c r="H140">
        <v>7068.2740560000002</v>
      </c>
      <c r="I140">
        <v>152</v>
      </c>
      <c r="J140">
        <v>0</v>
      </c>
      <c r="K140" s="2">
        <f t="shared" si="4"/>
        <v>96723.750240000008</v>
      </c>
      <c r="L140" s="2">
        <v>93906.750080000013</v>
      </c>
      <c r="M140" s="3">
        <f t="shared" si="5"/>
        <v>2.9997845283753932E-2</v>
      </c>
    </row>
    <row r="141" spans="1:13" x14ac:dyDescent="0.25">
      <c r="A141" t="s">
        <v>973</v>
      </c>
      <c r="B141" t="s">
        <v>331</v>
      </c>
      <c r="C141" t="s">
        <v>90</v>
      </c>
      <c r="D141" t="s">
        <v>13</v>
      </c>
      <c r="E141" t="s">
        <v>14</v>
      </c>
      <c r="F141" s="1">
        <v>44879</v>
      </c>
      <c r="G141" t="s">
        <v>90</v>
      </c>
      <c r="H141">
        <v>5201.1615039999997</v>
      </c>
      <c r="I141">
        <v>112</v>
      </c>
      <c r="J141">
        <v>0</v>
      </c>
      <c r="K141" s="2">
        <f t="shared" si="4"/>
        <v>96592.999360000002</v>
      </c>
      <c r="L141" s="2">
        <v>93779.99904000001</v>
      </c>
      <c r="M141" s="3">
        <f t="shared" si="5"/>
        <v>2.9995738417529338E-2</v>
      </c>
    </row>
    <row r="142" spans="1:13" x14ac:dyDescent="0.25">
      <c r="A142" t="s">
        <v>379</v>
      </c>
      <c r="B142" t="s">
        <v>380</v>
      </c>
      <c r="C142" t="s">
        <v>381</v>
      </c>
      <c r="D142" t="s">
        <v>13</v>
      </c>
      <c r="E142" t="s">
        <v>14</v>
      </c>
      <c r="F142" s="1">
        <v>45026</v>
      </c>
      <c r="G142" t="s">
        <v>381</v>
      </c>
      <c r="H142">
        <v>7058.7191839999996</v>
      </c>
      <c r="I142">
        <v>152</v>
      </c>
      <c r="J142">
        <v>0</v>
      </c>
      <c r="K142" s="2">
        <f t="shared" si="4"/>
        <v>96592.999359999987</v>
      </c>
      <c r="L142" s="2">
        <v>93779.999039999995</v>
      </c>
      <c r="M142" s="3">
        <f t="shared" si="5"/>
        <v>2.9995738417529338E-2</v>
      </c>
    </row>
    <row r="143" spans="1:13" x14ac:dyDescent="0.25">
      <c r="A143" t="s">
        <v>852</v>
      </c>
      <c r="B143" t="s">
        <v>118</v>
      </c>
      <c r="C143" t="s">
        <v>277</v>
      </c>
      <c r="D143" t="s">
        <v>13</v>
      </c>
      <c r="E143" t="s">
        <v>14</v>
      </c>
      <c r="F143" s="1">
        <v>34827</v>
      </c>
      <c r="G143" t="s">
        <v>277</v>
      </c>
      <c r="H143">
        <v>5196.3008159999999</v>
      </c>
      <c r="I143">
        <v>112</v>
      </c>
      <c r="J143">
        <v>0</v>
      </c>
      <c r="K143" s="2">
        <f t="shared" si="4"/>
        <v>96502.72944000001</v>
      </c>
      <c r="L143" s="2">
        <v>93691.730080000008</v>
      </c>
      <c r="M143" s="3">
        <f t="shared" si="5"/>
        <v>3.0002641189353474E-2</v>
      </c>
    </row>
    <row r="144" spans="1:13" x14ac:dyDescent="0.25">
      <c r="A144" t="s">
        <v>907</v>
      </c>
      <c r="B144" t="s">
        <v>571</v>
      </c>
      <c r="C144" t="s">
        <v>908</v>
      </c>
      <c r="D144" t="s">
        <v>13</v>
      </c>
      <c r="E144" t="s">
        <v>14</v>
      </c>
      <c r="F144" s="1">
        <v>41905</v>
      </c>
      <c r="G144" t="s">
        <v>908</v>
      </c>
      <c r="H144">
        <v>6833.4801239999997</v>
      </c>
      <c r="I144">
        <v>148</v>
      </c>
      <c r="J144">
        <v>0</v>
      </c>
      <c r="K144" s="2">
        <f t="shared" si="4"/>
        <v>96038.099040000001</v>
      </c>
      <c r="L144" s="2">
        <v>92790.047999999995</v>
      </c>
      <c r="M144" s="3">
        <f t="shared" si="5"/>
        <v>3.5004303909833112E-2</v>
      </c>
    </row>
    <row r="145" spans="1:13" x14ac:dyDescent="0.25">
      <c r="A145" t="s">
        <v>50</v>
      </c>
      <c r="B145" t="s">
        <v>51</v>
      </c>
      <c r="C145" t="s">
        <v>52</v>
      </c>
      <c r="D145" t="s">
        <v>13</v>
      </c>
      <c r="E145" t="s">
        <v>14</v>
      </c>
      <c r="F145" s="1">
        <v>42143</v>
      </c>
      <c r="G145" t="s">
        <v>52</v>
      </c>
      <c r="H145">
        <v>6277.2238880000004</v>
      </c>
      <c r="I145">
        <v>136</v>
      </c>
      <c r="J145">
        <v>0</v>
      </c>
      <c r="K145" s="2">
        <f t="shared" si="4"/>
        <v>96004.600640000004</v>
      </c>
      <c r="L145" s="2">
        <v>92002.599520000003</v>
      </c>
      <c r="M145" s="3">
        <f t="shared" si="5"/>
        <v>4.349878308742805E-2</v>
      </c>
    </row>
    <row r="146" spans="1:13" x14ac:dyDescent="0.25">
      <c r="A146" t="s">
        <v>747</v>
      </c>
      <c r="B146" t="s">
        <v>59</v>
      </c>
      <c r="C146" t="s">
        <v>519</v>
      </c>
      <c r="D146" t="s">
        <v>13</v>
      </c>
      <c r="E146" t="s">
        <v>14</v>
      </c>
      <c r="F146" s="1">
        <v>44652</v>
      </c>
      <c r="G146" t="s">
        <v>519</v>
      </c>
      <c r="H146">
        <v>6250.6058320000002</v>
      </c>
      <c r="I146">
        <v>136</v>
      </c>
      <c r="J146">
        <v>0</v>
      </c>
      <c r="K146" s="2">
        <f t="shared" si="4"/>
        <v>95597.500960000005</v>
      </c>
      <c r="L146" s="2">
        <v>92813.552000000011</v>
      </c>
      <c r="M146" s="3">
        <f t="shared" si="5"/>
        <v>2.9995069685513132E-2</v>
      </c>
    </row>
    <row r="147" spans="1:13" x14ac:dyDescent="0.25">
      <c r="A147" t="s">
        <v>353</v>
      </c>
      <c r="B147" t="s">
        <v>351</v>
      </c>
      <c r="C147" t="s">
        <v>354</v>
      </c>
      <c r="D147" t="s">
        <v>13</v>
      </c>
      <c r="E147" t="s">
        <v>14</v>
      </c>
      <c r="F147" s="1">
        <v>44427</v>
      </c>
      <c r="G147" t="s">
        <v>354</v>
      </c>
      <c r="H147">
        <v>5146.9492479999999</v>
      </c>
      <c r="I147">
        <v>112</v>
      </c>
      <c r="J147">
        <v>0</v>
      </c>
      <c r="K147" s="2">
        <f t="shared" si="4"/>
        <v>95586.200320000004</v>
      </c>
      <c r="L147" s="2">
        <v>92802.199424999999</v>
      </c>
      <c r="M147" s="3">
        <f t="shared" si="5"/>
        <v>2.9999298640006389E-2</v>
      </c>
    </row>
    <row r="148" spans="1:13" x14ac:dyDescent="0.25">
      <c r="A148" t="s">
        <v>1030</v>
      </c>
      <c r="B148" t="s">
        <v>118</v>
      </c>
      <c r="C148" t="s">
        <v>774</v>
      </c>
      <c r="D148" t="s">
        <v>13</v>
      </c>
      <c r="E148" t="s">
        <v>14</v>
      </c>
      <c r="F148" s="1">
        <v>42545</v>
      </c>
      <c r="G148" t="s">
        <v>774</v>
      </c>
      <c r="H148">
        <v>5121.2941920000003</v>
      </c>
      <c r="I148">
        <v>112</v>
      </c>
      <c r="J148">
        <v>0</v>
      </c>
      <c r="K148" s="2">
        <f t="shared" si="4"/>
        <v>95109.749280000018</v>
      </c>
      <c r="L148" s="2">
        <v>90580.751040000017</v>
      </c>
      <c r="M148" s="3">
        <f t="shared" si="5"/>
        <v>4.9999566000507256E-2</v>
      </c>
    </row>
    <row r="149" spans="1:13" x14ac:dyDescent="0.25">
      <c r="A149" t="s">
        <v>517</v>
      </c>
      <c r="B149" t="s">
        <v>59</v>
      </c>
      <c r="C149" t="s">
        <v>356</v>
      </c>
      <c r="D149" t="s">
        <v>13</v>
      </c>
      <c r="E149" t="s">
        <v>14</v>
      </c>
      <c r="F149" s="1">
        <v>45691</v>
      </c>
      <c r="G149" t="s">
        <v>356</v>
      </c>
      <c r="H149">
        <v>5663.4615480000002</v>
      </c>
      <c r="I149">
        <v>124</v>
      </c>
      <c r="J149">
        <v>0</v>
      </c>
      <c r="K149" s="2">
        <f t="shared" si="4"/>
        <v>95000.000159999996</v>
      </c>
      <c r="L149" s="2">
        <v>95000.000177577473</v>
      </c>
      <c r="M149" s="3">
        <f t="shared" si="5"/>
        <v>-1.8502610554804733E-10</v>
      </c>
    </row>
    <row r="150" spans="1:13" x14ac:dyDescent="0.25">
      <c r="A150" t="s">
        <v>782</v>
      </c>
      <c r="B150" t="s">
        <v>74</v>
      </c>
      <c r="C150" t="s">
        <v>199</v>
      </c>
      <c r="D150" t="s">
        <v>13</v>
      </c>
      <c r="E150" t="s">
        <v>14</v>
      </c>
      <c r="F150" s="1">
        <v>45824</v>
      </c>
      <c r="G150" t="s">
        <v>199</v>
      </c>
      <c r="H150">
        <v>6942.3077039999998</v>
      </c>
      <c r="I150">
        <v>152</v>
      </c>
      <c r="J150">
        <v>0</v>
      </c>
      <c r="K150" s="2">
        <f t="shared" si="4"/>
        <v>95000.000159999996</v>
      </c>
      <c r="L150" s="2">
        <v>95000.000159999996</v>
      </c>
      <c r="M150" s="3">
        <f t="shared" si="5"/>
        <v>0</v>
      </c>
    </row>
    <row r="151" spans="1:13" x14ac:dyDescent="0.25">
      <c r="A151" t="s">
        <v>1033</v>
      </c>
      <c r="B151" t="s">
        <v>1034</v>
      </c>
      <c r="C151" t="s">
        <v>387</v>
      </c>
      <c r="D151" t="s">
        <v>13</v>
      </c>
      <c r="E151" t="s">
        <v>14</v>
      </c>
      <c r="F151" s="1">
        <v>43892</v>
      </c>
      <c r="G151" t="s">
        <v>387</v>
      </c>
      <c r="H151">
        <v>6942.3077039999998</v>
      </c>
      <c r="I151">
        <v>152</v>
      </c>
      <c r="J151">
        <v>0</v>
      </c>
      <c r="K151" s="2">
        <f t="shared" si="4"/>
        <v>95000.000159999996</v>
      </c>
      <c r="L151" s="2">
        <v>86528</v>
      </c>
      <c r="M151" s="3">
        <f t="shared" si="5"/>
        <v>9.7910504807692256E-2</v>
      </c>
    </row>
    <row r="152" spans="1:13" x14ac:dyDescent="0.25">
      <c r="A152" t="s">
        <v>461</v>
      </c>
      <c r="B152" t="s">
        <v>462</v>
      </c>
      <c r="C152" t="s">
        <v>36</v>
      </c>
      <c r="D152" t="s">
        <v>13</v>
      </c>
      <c r="E152" t="s">
        <v>14</v>
      </c>
      <c r="F152" s="1">
        <v>34232</v>
      </c>
      <c r="G152" t="s">
        <v>36</v>
      </c>
      <c r="H152">
        <v>5475.91212</v>
      </c>
      <c r="I152">
        <v>120</v>
      </c>
      <c r="J152">
        <v>0</v>
      </c>
      <c r="K152" s="2">
        <f t="shared" si="4"/>
        <v>94915.810079999996</v>
      </c>
      <c r="L152" s="2">
        <v>91566.810390295475</v>
      </c>
      <c r="M152" s="3">
        <f t="shared" si="5"/>
        <v>3.6574384052799225E-2</v>
      </c>
    </row>
    <row r="153" spans="1:13" x14ac:dyDescent="0.25">
      <c r="A153" t="s">
        <v>991</v>
      </c>
      <c r="B153" t="s">
        <v>260</v>
      </c>
      <c r="C153" t="s">
        <v>36</v>
      </c>
      <c r="D153" t="s">
        <v>13</v>
      </c>
      <c r="E153" t="s">
        <v>14</v>
      </c>
      <c r="F153" s="1">
        <v>43383</v>
      </c>
      <c r="G153" t="s">
        <v>36</v>
      </c>
      <c r="H153">
        <v>6417.8030879999997</v>
      </c>
      <c r="I153">
        <v>144</v>
      </c>
      <c r="J153">
        <v>0</v>
      </c>
      <c r="K153" s="2">
        <f t="shared" si="4"/>
        <v>92701.600160000002</v>
      </c>
      <c r="L153" s="2">
        <v>90001.600000000006</v>
      </c>
      <c r="M153" s="3">
        <f t="shared" si="5"/>
        <v>2.9999468453894007E-2</v>
      </c>
    </row>
    <row r="154" spans="1:13" x14ac:dyDescent="0.25">
      <c r="A154" t="s">
        <v>604</v>
      </c>
      <c r="B154" t="s">
        <v>331</v>
      </c>
      <c r="C154" t="s">
        <v>90</v>
      </c>
      <c r="D154" t="s">
        <v>13</v>
      </c>
      <c r="E154" t="s">
        <v>14</v>
      </c>
      <c r="F154" s="1">
        <v>45474</v>
      </c>
      <c r="G154" t="s">
        <v>90</v>
      </c>
      <c r="H154">
        <v>6774.2308160000002</v>
      </c>
      <c r="I154">
        <v>152</v>
      </c>
      <c r="J154">
        <v>0</v>
      </c>
      <c r="K154" s="2">
        <f t="shared" si="4"/>
        <v>92700.000639999998</v>
      </c>
      <c r="L154" s="2">
        <v>90000.000480000002</v>
      </c>
      <c r="M154" s="3">
        <f t="shared" si="5"/>
        <v>3.0000001617777716E-2</v>
      </c>
    </row>
    <row r="155" spans="1:13" x14ac:dyDescent="0.25">
      <c r="A155" t="s">
        <v>370</v>
      </c>
      <c r="B155" t="s">
        <v>371</v>
      </c>
      <c r="C155" t="s">
        <v>372</v>
      </c>
      <c r="D155" t="s">
        <v>13</v>
      </c>
      <c r="E155" t="s">
        <v>14</v>
      </c>
      <c r="F155" s="1">
        <v>32142</v>
      </c>
      <c r="G155" t="s">
        <v>372</v>
      </c>
      <c r="H155">
        <v>6217.4807799999999</v>
      </c>
      <c r="I155">
        <v>140</v>
      </c>
      <c r="J155">
        <v>0</v>
      </c>
      <c r="K155" s="2">
        <f t="shared" si="4"/>
        <v>92374.000159999996</v>
      </c>
      <c r="L155" s="2">
        <v>89250.000319999992</v>
      </c>
      <c r="M155" s="3">
        <f t="shared" si="5"/>
        <v>3.5002799202230817E-2</v>
      </c>
    </row>
    <row r="156" spans="1:13" x14ac:dyDescent="0.25">
      <c r="A156" t="s">
        <v>518</v>
      </c>
      <c r="B156" t="s">
        <v>94</v>
      </c>
      <c r="C156" t="s">
        <v>519</v>
      </c>
      <c r="D156" t="s">
        <v>13</v>
      </c>
      <c r="E156" t="s">
        <v>14</v>
      </c>
      <c r="F156" s="1">
        <v>42709</v>
      </c>
      <c r="G156" t="s">
        <v>519</v>
      </c>
      <c r="H156">
        <v>5312.9394000000002</v>
      </c>
      <c r="I156">
        <v>120</v>
      </c>
      <c r="J156">
        <v>0</v>
      </c>
      <c r="K156" s="2">
        <f t="shared" si="4"/>
        <v>92090.949599999993</v>
      </c>
      <c r="L156" s="2">
        <v>89191.949600000007</v>
      </c>
      <c r="M156" s="3">
        <f t="shared" si="5"/>
        <v>3.2502933426179714E-2</v>
      </c>
    </row>
    <row r="157" spans="1:13" x14ac:dyDescent="0.25">
      <c r="A157" t="s">
        <v>650</v>
      </c>
      <c r="B157" t="s">
        <v>424</v>
      </c>
      <c r="C157" t="s">
        <v>36</v>
      </c>
      <c r="D157" t="s">
        <v>13</v>
      </c>
      <c r="E157" t="s">
        <v>14</v>
      </c>
      <c r="F157" s="1">
        <v>34654</v>
      </c>
      <c r="G157" t="s">
        <v>36</v>
      </c>
      <c r="H157">
        <v>6677.9935359999999</v>
      </c>
      <c r="I157">
        <v>152</v>
      </c>
      <c r="J157">
        <v>0</v>
      </c>
      <c r="K157" s="2">
        <f t="shared" si="4"/>
        <v>91383.069439999992</v>
      </c>
      <c r="L157" s="2">
        <v>89154.070769439728</v>
      </c>
      <c r="M157" s="3">
        <f t="shared" si="5"/>
        <v>2.5001647724248732E-2</v>
      </c>
    </row>
    <row r="158" spans="1:13" x14ac:dyDescent="0.25">
      <c r="A158" t="s">
        <v>885</v>
      </c>
      <c r="B158" t="s">
        <v>201</v>
      </c>
      <c r="C158" t="s">
        <v>426</v>
      </c>
      <c r="D158" t="s">
        <v>13</v>
      </c>
      <c r="E158" t="s">
        <v>14</v>
      </c>
      <c r="F158" s="1">
        <v>44662</v>
      </c>
      <c r="G158" t="s">
        <v>426</v>
      </c>
      <c r="H158">
        <v>6659.7191839999996</v>
      </c>
      <c r="I158">
        <v>152</v>
      </c>
      <c r="J158">
        <v>0</v>
      </c>
      <c r="K158" s="2">
        <f t="shared" si="4"/>
        <v>91132.999359999987</v>
      </c>
      <c r="L158" s="2">
        <v>88909.999360000002</v>
      </c>
      <c r="M158" s="3">
        <f t="shared" si="5"/>
        <v>2.5002812012167253E-2</v>
      </c>
    </row>
    <row r="159" spans="1:13" x14ac:dyDescent="0.25">
      <c r="A159" t="s">
        <v>256</v>
      </c>
      <c r="B159" t="s">
        <v>257</v>
      </c>
      <c r="C159" t="s">
        <v>258</v>
      </c>
      <c r="D159" t="s">
        <v>13</v>
      </c>
      <c r="E159" t="s">
        <v>14</v>
      </c>
      <c r="F159" s="1">
        <v>36549</v>
      </c>
      <c r="G159" t="s">
        <v>258</v>
      </c>
      <c r="H159">
        <v>6647.8077039999998</v>
      </c>
      <c r="I159">
        <v>152</v>
      </c>
      <c r="J159">
        <v>0</v>
      </c>
      <c r="K159" s="2">
        <f t="shared" si="4"/>
        <v>90970.000159999996</v>
      </c>
      <c r="L159" s="2">
        <v>88319.999039999995</v>
      </c>
      <c r="M159" s="3">
        <f t="shared" si="5"/>
        <v>3.0004541992803002E-2</v>
      </c>
    </row>
    <row r="160" spans="1:13" x14ac:dyDescent="0.25">
      <c r="A160" t="s">
        <v>632</v>
      </c>
      <c r="B160" t="s">
        <v>182</v>
      </c>
      <c r="C160" t="s">
        <v>633</v>
      </c>
      <c r="D160" t="s">
        <v>13</v>
      </c>
      <c r="E160" t="s">
        <v>14</v>
      </c>
      <c r="F160" s="1">
        <v>42177</v>
      </c>
      <c r="G160" t="s">
        <v>633</v>
      </c>
      <c r="H160">
        <v>6463.347812</v>
      </c>
      <c r="I160">
        <v>148</v>
      </c>
      <c r="J160">
        <v>0</v>
      </c>
      <c r="K160" s="2">
        <f t="shared" si="4"/>
        <v>90836.239520000003</v>
      </c>
      <c r="L160" s="2">
        <v>88190.240319999997</v>
      </c>
      <c r="M160" s="3">
        <f t="shared" si="5"/>
        <v>3.0003310915118764E-2</v>
      </c>
    </row>
    <row r="161" spans="1:13" x14ac:dyDescent="0.25">
      <c r="A161" t="s">
        <v>34</v>
      </c>
      <c r="B161" t="s">
        <v>35</v>
      </c>
      <c r="C161" t="s">
        <v>36</v>
      </c>
      <c r="D161" t="s">
        <v>13</v>
      </c>
      <c r="E161" t="s">
        <v>14</v>
      </c>
      <c r="F161" s="1">
        <v>42479</v>
      </c>
      <c r="G161" t="s">
        <v>36</v>
      </c>
      <c r="H161">
        <v>6543.1348719999996</v>
      </c>
      <c r="I161">
        <v>151</v>
      </c>
      <c r="J161">
        <v>0</v>
      </c>
      <c r="K161" s="2">
        <f t="shared" si="4"/>
        <v>90130.599561324489</v>
      </c>
      <c r="L161" s="2">
        <v>87505.599999999991</v>
      </c>
      <c r="M161" s="3">
        <f t="shared" si="5"/>
        <v>2.9998075109758604E-2</v>
      </c>
    </row>
    <row r="162" spans="1:13" x14ac:dyDescent="0.25">
      <c r="A162" t="s">
        <v>523</v>
      </c>
      <c r="B162" t="s">
        <v>524</v>
      </c>
      <c r="C162" t="s">
        <v>381</v>
      </c>
      <c r="D162" t="s">
        <v>13</v>
      </c>
      <c r="E162" t="s">
        <v>14</v>
      </c>
      <c r="F162" s="1">
        <v>43453</v>
      </c>
      <c r="G162" t="s">
        <v>381</v>
      </c>
      <c r="H162">
        <v>5062.500027</v>
      </c>
      <c r="I162">
        <v>117</v>
      </c>
      <c r="J162">
        <v>0</v>
      </c>
      <c r="K162" s="2">
        <f t="shared" si="4"/>
        <v>90000.000480000002</v>
      </c>
      <c r="L162" s="2">
        <v>90000.000480000002</v>
      </c>
      <c r="M162" s="3">
        <f t="shared" si="5"/>
        <v>0</v>
      </c>
    </row>
    <row r="163" spans="1:13" x14ac:dyDescent="0.25">
      <c r="A163" t="s">
        <v>961</v>
      </c>
      <c r="B163" t="s">
        <v>351</v>
      </c>
      <c r="C163" t="s">
        <v>354</v>
      </c>
      <c r="D163" t="s">
        <v>13</v>
      </c>
      <c r="E163" t="s">
        <v>14</v>
      </c>
      <c r="F163" s="1">
        <v>43353</v>
      </c>
      <c r="G163" t="s">
        <v>354</v>
      </c>
      <c r="H163">
        <v>5554.2177039999997</v>
      </c>
      <c r="I163">
        <v>129.5</v>
      </c>
      <c r="J163">
        <v>0</v>
      </c>
      <c r="K163" s="2">
        <f t="shared" si="4"/>
        <v>89210.600959999996</v>
      </c>
      <c r="L163" s="2">
        <v>86612.599882020193</v>
      </c>
      <c r="M163" s="3">
        <f t="shared" si="5"/>
        <v>2.9995648225762617E-2</v>
      </c>
    </row>
    <row r="164" spans="1:13" x14ac:dyDescent="0.25">
      <c r="A164" t="s">
        <v>245</v>
      </c>
      <c r="B164" t="s">
        <v>81</v>
      </c>
      <c r="C164" t="s">
        <v>90</v>
      </c>
      <c r="D164" t="s">
        <v>13</v>
      </c>
      <c r="E164" t="s">
        <v>14</v>
      </c>
      <c r="F164" s="1">
        <v>44697</v>
      </c>
      <c r="G164" t="s">
        <v>90</v>
      </c>
      <c r="H164">
        <v>6512.3187040000003</v>
      </c>
      <c r="I164">
        <v>152</v>
      </c>
      <c r="J164">
        <v>0</v>
      </c>
      <c r="K164" s="2">
        <f t="shared" si="4"/>
        <v>89115.940159999998</v>
      </c>
      <c r="L164" s="2">
        <v>86519.888000000006</v>
      </c>
      <c r="M164" s="3">
        <f t="shared" si="5"/>
        <v>3.0005264916662666E-2</v>
      </c>
    </row>
    <row r="165" spans="1:13" x14ac:dyDescent="0.25">
      <c r="A165" t="s">
        <v>510</v>
      </c>
      <c r="B165" t="s">
        <v>424</v>
      </c>
      <c r="C165" t="s">
        <v>36</v>
      </c>
      <c r="D165" t="s">
        <v>13</v>
      </c>
      <c r="E165" t="s">
        <v>14</v>
      </c>
      <c r="F165" s="1">
        <v>32454</v>
      </c>
      <c r="G165" t="s">
        <v>36</v>
      </c>
      <c r="H165">
        <v>6484.464704</v>
      </c>
      <c r="I165">
        <v>152</v>
      </c>
      <c r="J165">
        <v>0</v>
      </c>
      <c r="K165" s="2">
        <f t="shared" si="4"/>
        <v>88734.780159999995</v>
      </c>
      <c r="L165" s="2">
        <v>85733.779083333342</v>
      </c>
      <c r="M165" s="3">
        <f t="shared" si="5"/>
        <v>3.5003718589724953E-2</v>
      </c>
    </row>
    <row r="166" spans="1:13" x14ac:dyDescent="0.25">
      <c r="A166" t="s">
        <v>554</v>
      </c>
      <c r="B166" t="s">
        <v>72</v>
      </c>
      <c r="C166" t="s">
        <v>36</v>
      </c>
      <c r="D166" t="s">
        <v>13</v>
      </c>
      <c r="E166" t="s">
        <v>14</v>
      </c>
      <c r="F166" s="1">
        <v>39132</v>
      </c>
      <c r="G166" t="s">
        <v>36</v>
      </c>
      <c r="H166">
        <v>5787.0852199999999</v>
      </c>
      <c r="I166">
        <v>135.75</v>
      </c>
      <c r="J166">
        <v>0</v>
      </c>
      <c r="K166" s="2">
        <f t="shared" si="4"/>
        <v>88671.361013627989</v>
      </c>
      <c r="L166" s="2">
        <v>86088.360817002729</v>
      </c>
      <c r="M166" s="3">
        <f t="shared" si="5"/>
        <v>3.0004058296753122E-2</v>
      </c>
    </row>
    <row r="167" spans="1:13" x14ac:dyDescent="0.25">
      <c r="A167" t="s">
        <v>883</v>
      </c>
      <c r="B167" t="s">
        <v>303</v>
      </c>
      <c r="C167" t="s">
        <v>57</v>
      </c>
      <c r="D167" t="s">
        <v>13</v>
      </c>
      <c r="E167" t="s">
        <v>14</v>
      </c>
      <c r="F167" s="1">
        <v>38453</v>
      </c>
      <c r="G167" t="s">
        <v>57</v>
      </c>
      <c r="H167">
        <v>6470.4937760000003</v>
      </c>
      <c r="I167">
        <v>152</v>
      </c>
      <c r="J167">
        <v>0</v>
      </c>
      <c r="K167" s="2">
        <f t="shared" si="4"/>
        <v>88543.599040000001</v>
      </c>
      <c r="L167" s="2">
        <v>86595.6</v>
      </c>
      <c r="M167" s="3">
        <f t="shared" si="5"/>
        <v>2.249535819371884E-2</v>
      </c>
    </row>
    <row r="168" spans="1:13" x14ac:dyDescent="0.25">
      <c r="A168" t="s">
        <v>274</v>
      </c>
      <c r="B168" t="s">
        <v>35</v>
      </c>
      <c r="C168" t="s">
        <v>36</v>
      </c>
      <c r="D168" t="s">
        <v>13</v>
      </c>
      <c r="E168" t="s">
        <v>14</v>
      </c>
      <c r="F168" s="1">
        <v>38110</v>
      </c>
      <c r="G168" t="s">
        <v>36</v>
      </c>
      <c r="H168">
        <v>6077.1413759999996</v>
      </c>
      <c r="I168">
        <v>143.666666666666</v>
      </c>
      <c r="J168">
        <v>0</v>
      </c>
      <c r="K168" s="2">
        <f t="shared" si="4"/>
        <v>87984.599040000394</v>
      </c>
      <c r="L168" s="2">
        <v>85009.600000000006</v>
      </c>
      <c r="M168" s="3">
        <f t="shared" si="5"/>
        <v>3.499603621238534E-2</v>
      </c>
    </row>
    <row r="169" spans="1:13" x14ac:dyDescent="0.25">
      <c r="A169" t="s">
        <v>112</v>
      </c>
      <c r="B169" t="s">
        <v>113</v>
      </c>
      <c r="C169" t="s">
        <v>82</v>
      </c>
      <c r="D169" t="s">
        <v>13</v>
      </c>
      <c r="E169" t="s">
        <v>14</v>
      </c>
      <c r="F169" s="1">
        <v>45293</v>
      </c>
      <c r="G169" t="s">
        <v>82</v>
      </c>
      <c r="H169">
        <v>6061.153824</v>
      </c>
      <c r="I169">
        <v>144</v>
      </c>
      <c r="J169">
        <v>0</v>
      </c>
      <c r="K169" s="2">
        <f t="shared" si="4"/>
        <v>87549.999680000008</v>
      </c>
      <c r="L169" s="2">
        <v>85000.000800000009</v>
      </c>
      <c r="M169" s="3">
        <f t="shared" si="5"/>
        <v>2.9999986541176638E-2</v>
      </c>
    </row>
    <row r="170" spans="1:13" x14ac:dyDescent="0.25">
      <c r="A170" t="s">
        <v>355</v>
      </c>
      <c r="B170" t="s">
        <v>59</v>
      </c>
      <c r="C170" t="s">
        <v>356</v>
      </c>
      <c r="D170" t="s">
        <v>13</v>
      </c>
      <c r="E170" t="s">
        <v>14</v>
      </c>
      <c r="F170" s="1">
        <v>44200</v>
      </c>
      <c r="G170" t="s">
        <v>356</v>
      </c>
      <c r="H170">
        <v>6391.5268880000003</v>
      </c>
      <c r="I170">
        <v>152</v>
      </c>
      <c r="J170">
        <v>0</v>
      </c>
      <c r="K170" s="2">
        <f t="shared" si="4"/>
        <v>87462.999519999998</v>
      </c>
      <c r="L170" s="2">
        <v>85748</v>
      </c>
      <c r="M170" s="3">
        <f t="shared" si="5"/>
        <v>2.0000460885384985E-2</v>
      </c>
    </row>
    <row r="171" spans="1:13" x14ac:dyDescent="0.25">
      <c r="A171" t="s">
        <v>703</v>
      </c>
      <c r="B171" t="s">
        <v>704</v>
      </c>
      <c r="C171" t="s">
        <v>705</v>
      </c>
      <c r="D171" t="s">
        <v>13</v>
      </c>
      <c r="E171" t="s">
        <v>14</v>
      </c>
      <c r="F171" s="1">
        <v>42184</v>
      </c>
      <c r="G171" t="s">
        <v>705</v>
      </c>
      <c r="H171">
        <v>6691.6923200000001</v>
      </c>
      <c r="I171">
        <v>160</v>
      </c>
      <c r="J171">
        <v>0</v>
      </c>
      <c r="K171" s="2">
        <f t="shared" si="4"/>
        <v>86992.000159999996</v>
      </c>
      <c r="L171" s="2">
        <v>84870.000799999994</v>
      </c>
      <c r="M171" s="3">
        <f t="shared" si="5"/>
        <v>2.500293790500363E-2</v>
      </c>
    </row>
    <row r="172" spans="1:13" x14ac:dyDescent="0.25">
      <c r="A172" t="s">
        <v>921</v>
      </c>
      <c r="B172" t="s">
        <v>462</v>
      </c>
      <c r="C172" t="s">
        <v>36</v>
      </c>
      <c r="D172" t="s">
        <v>13</v>
      </c>
      <c r="E172" t="s">
        <v>14</v>
      </c>
      <c r="F172" s="1">
        <v>34016</v>
      </c>
      <c r="G172" t="s">
        <v>36</v>
      </c>
      <c r="H172">
        <v>6016.6536500000002</v>
      </c>
      <c r="I172">
        <v>144</v>
      </c>
      <c r="J172">
        <v>0</v>
      </c>
      <c r="K172" s="2">
        <f t="shared" si="4"/>
        <v>86907.219388888887</v>
      </c>
      <c r="L172" s="2">
        <v>83564.220480000004</v>
      </c>
      <c r="M172" s="3">
        <f t="shared" si="5"/>
        <v>4.0005146816261883E-2</v>
      </c>
    </row>
    <row r="173" spans="1:13" x14ac:dyDescent="0.25">
      <c r="A173" t="s">
        <v>350</v>
      </c>
      <c r="B173" t="s">
        <v>351</v>
      </c>
      <c r="C173" t="s">
        <v>352</v>
      </c>
      <c r="D173" t="s">
        <v>13</v>
      </c>
      <c r="E173" t="s">
        <v>14</v>
      </c>
      <c r="F173" s="1">
        <v>44487</v>
      </c>
      <c r="G173" t="s">
        <v>352</v>
      </c>
      <c r="H173">
        <v>4636.4122580000003</v>
      </c>
      <c r="I173">
        <v>112</v>
      </c>
      <c r="J173">
        <v>0</v>
      </c>
      <c r="K173" s="2">
        <f t="shared" si="4"/>
        <v>86104.799077142874</v>
      </c>
      <c r="L173" s="2">
        <v>83596.799578100559</v>
      </c>
      <c r="M173" s="3">
        <f t="shared" si="5"/>
        <v>3.0001142528180313E-2</v>
      </c>
    </row>
    <row r="174" spans="1:13" x14ac:dyDescent="0.25">
      <c r="A174" t="s">
        <v>1041</v>
      </c>
      <c r="B174" t="s">
        <v>118</v>
      </c>
      <c r="C174" t="s">
        <v>508</v>
      </c>
      <c r="D174" t="s">
        <v>13</v>
      </c>
      <c r="E174" t="s">
        <v>14</v>
      </c>
      <c r="F174" s="1">
        <v>42142</v>
      </c>
      <c r="G174" t="s">
        <v>508</v>
      </c>
      <c r="H174">
        <v>5924.9076480000003</v>
      </c>
      <c r="I174">
        <v>144</v>
      </c>
      <c r="J174">
        <v>0</v>
      </c>
      <c r="K174" s="2">
        <f t="shared" si="4"/>
        <v>85581.999360000002</v>
      </c>
      <c r="L174" s="2">
        <v>81120</v>
      </c>
      <c r="M174" s="3">
        <f t="shared" si="5"/>
        <v>5.5004923076923173E-2</v>
      </c>
    </row>
    <row r="175" spans="1:13" x14ac:dyDescent="0.25">
      <c r="A175" t="s">
        <v>349</v>
      </c>
      <c r="B175" t="s">
        <v>247</v>
      </c>
      <c r="C175" t="s">
        <v>36</v>
      </c>
      <c r="D175" t="s">
        <v>13</v>
      </c>
      <c r="E175" t="s">
        <v>14</v>
      </c>
      <c r="F175" s="1">
        <v>44810</v>
      </c>
      <c r="G175" t="s">
        <v>36</v>
      </c>
      <c r="H175">
        <v>5394.7384940000002</v>
      </c>
      <c r="I175">
        <v>132</v>
      </c>
      <c r="J175">
        <v>0</v>
      </c>
      <c r="K175" s="2">
        <f t="shared" si="4"/>
        <v>85008.000511515158</v>
      </c>
      <c r="L175" s="2">
        <v>82006.999427195304</v>
      </c>
      <c r="M175" s="3">
        <f t="shared" si="5"/>
        <v>3.6594450538141032E-2</v>
      </c>
    </row>
    <row r="176" spans="1:13" x14ac:dyDescent="0.25">
      <c r="A176" t="s">
        <v>1036</v>
      </c>
      <c r="B176" t="s">
        <v>815</v>
      </c>
      <c r="C176" t="s">
        <v>381</v>
      </c>
      <c r="D176" t="s">
        <v>13</v>
      </c>
      <c r="E176" t="s">
        <v>14</v>
      </c>
      <c r="F176" s="1">
        <v>45782</v>
      </c>
      <c r="G176" t="s">
        <v>381</v>
      </c>
      <c r="H176">
        <v>6211.5385200000001</v>
      </c>
      <c r="I176">
        <v>152</v>
      </c>
      <c r="J176">
        <v>0</v>
      </c>
      <c r="K176" s="2">
        <f t="shared" si="4"/>
        <v>85000.000799999994</v>
      </c>
      <c r="L176" s="2">
        <v>85000.000800000009</v>
      </c>
      <c r="M176" s="3">
        <f t="shared" si="5"/>
        <v>-2.2204460492503131E-16</v>
      </c>
    </row>
    <row r="177" spans="1:13" x14ac:dyDescent="0.25">
      <c r="A177" t="s">
        <v>711</v>
      </c>
      <c r="B177" t="s">
        <v>137</v>
      </c>
      <c r="C177" t="s">
        <v>712</v>
      </c>
      <c r="D177" t="s">
        <v>13</v>
      </c>
      <c r="E177" t="s">
        <v>14</v>
      </c>
      <c r="F177" s="1">
        <v>44417</v>
      </c>
      <c r="G177" t="s">
        <v>712</v>
      </c>
      <c r="H177">
        <v>5832.4154399999998</v>
      </c>
      <c r="I177">
        <v>144</v>
      </c>
      <c r="J177">
        <v>0</v>
      </c>
      <c r="K177" s="2">
        <f t="shared" si="4"/>
        <v>84246.000799999994</v>
      </c>
      <c r="L177" s="2">
        <v>73899.999680000008</v>
      </c>
      <c r="M177" s="3">
        <f t="shared" si="5"/>
        <v>0.14000001576184018</v>
      </c>
    </row>
    <row r="178" spans="1:13" x14ac:dyDescent="0.25">
      <c r="A178" t="s">
        <v>1042</v>
      </c>
      <c r="B178" t="s">
        <v>303</v>
      </c>
      <c r="C178" t="s">
        <v>26</v>
      </c>
      <c r="D178" t="s">
        <v>13</v>
      </c>
      <c r="E178" t="s">
        <v>14</v>
      </c>
      <c r="F178" s="1">
        <v>44417</v>
      </c>
      <c r="G178" t="s">
        <v>26</v>
      </c>
      <c r="H178">
        <v>6146.7412240000003</v>
      </c>
      <c r="I178">
        <v>152</v>
      </c>
      <c r="J178">
        <v>0</v>
      </c>
      <c r="K178" s="2">
        <f t="shared" si="4"/>
        <v>84113.300960000008</v>
      </c>
      <c r="L178" s="2">
        <v>80878.299840000007</v>
      </c>
      <c r="M178" s="3">
        <f t="shared" si="5"/>
        <v>3.9998381845312458E-2</v>
      </c>
    </row>
    <row r="179" spans="1:13" x14ac:dyDescent="0.25">
      <c r="A179" t="s">
        <v>960</v>
      </c>
      <c r="B179" t="s">
        <v>247</v>
      </c>
      <c r="C179" t="s">
        <v>36</v>
      </c>
      <c r="D179" t="s">
        <v>13</v>
      </c>
      <c r="E179" t="s">
        <v>14</v>
      </c>
      <c r="F179" s="1">
        <v>33070</v>
      </c>
      <c r="G179" t="s">
        <v>36</v>
      </c>
      <c r="H179">
        <v>5660.5998399999999</v>
      </c>
      <c r="I179">
        <v>140</v>
      </c>
      <c r="J179">
        <v>0</v>
      </c>
      <c r="K179" s="2">
        <f t="shared" si="4"/>
        <v>84100.340479999999</v>
      </c>
      <c r="L179" s="2">
        <v>82097.34007298245</v>
      </c>
      <c r="M179" s="3">
        <f t="shared" si="5"/>
        <v>2.4397872150753397E-2</v>
      </c>
    </row>
    <row r="180" spans="1:13" x14ac:dyDescent="0.25">
      <c r="A180" t="s">
        <v>874</v>
      </c>
      <c r="B180" t="s">
        <v>108</v>
      </c>
      <c r="C180" t="s">
        <v>705</v>
      </c>
      <c r="D180" t="s">
        <v>13</v>
      </c>
      <c r="E180" t="s">
        <v>14</v>
      </c>
      <c r="F180" s="1">
        <v>43276</v>
      </c>
      <c r="G180" t="s">
        <v>705</v>
      </c>
      <c r="H180">
        <v>6111.9345919999996</v>
      </c>
      <c r="I180">
        <v>152</v>
      </c>
      <c r="J180">
        <v>0</v>
      </c>
      <c r="K180" s="2">
        <f t="shared" si="4"/>
        <v>83636.999679999994</v>
      </c>
      <c r="L180" s="2">
        <v>81025.000160000011</v>
      </c>
      <c r="M180" s="3">
        <f t="shared" si="5"/>
        <v>3.2236957912274766E-2</v>
      </c>
    </row>
    <row r="181" spans="1:13" x14ac:dyDescent="0.25">
      <c r="A181" t="s">
        <v>276</v>
      </c>
      <c r="B181" t="s">
        <v>118</v>
      </c>
      <c r="C181" t="s">
        <v>277</v>
      </c>
      <c r="D181" t="s">
        <v>13</v>
      </c>
      <c r="E181" t="s">
        <v>14</v>
      </c>
      <c r="F181" s="1">
        <v>39335</v>
      </c>
      <c r="G181" t="s">
        <v>277</v>
      </c>
      <c r="H181">
        <v>5583.656688</v>
      </c>
      <c r="I181">
        <v>139</v>
      </c>
      <c r="J181">
        <v>0</v>
      </c>
      <c r="K181" s="2">
        <f t="shared" si="4"/>
        <v>83553.999360000002</v>
      </c>
      <c r="L181" s="2">
        <v>81120</v>
      </c>
      <c r="M181" s="3">
        <f t="shared" si="5"/>
        <v>3.000492307692304E-2</v>
      </c>
    </row>
    <row r="182" spans="1:13" x14ac:dyDescent="0.25">
      <c r="A182" t="s">
        <v>665</v>
      </c>
      <c r="B182" t="s">
        <v>108</v>
      </c>
      <c r="C182" t="s">
        <v>57</v>
      </c>
      <c r="D182" t="s">
        <v>13</v>
      </c>
      <c r="E182" t="s">
        <v>14</v>
      </c>
      <c r="F182" s="1">
        <v>43640</v>
      </c>
      <c r="G182" t="s">
        <v>57</v>
      </c>
      <c r="H182">
        <v>6080</v>
      </c>
      <c r="I182">
        <v>152</v>
      </c>
      <c r="J182">
        <v>0</v>
      </c>
      <c r="K182" s="2">
        <f t="shared" si="4"/>
        <v>83200</v>
      </c>
      <c r="L182" s="2">
        <v>81170.999519999998</v>
      </c>
      <c r="M182" s="3">
        <f t="shared" si="5"/>
        <v>2.4996618151783112E-2</v>
      </c>
    </row>
    <row r="183" spans="1:13" x14ac:dyDescent="0.25">
      <c r="A183" t="s">
        <v>107</v>
      </c>
      <c r="B183" t="s">
        <v>108</v>
      </c>
      <c r="C183" t="s">
        <v>57</v>
      </c>
      <c r="D183" t="s">
        <v>13</v>
      </c>
      <c r="E183" t="s">
        <v>14</v>
      </c>
      <c r="F183" s="1">
        <v>45762</v>
      </c>
      <c r="G183" t="s">
        <v>57</v>
      </c>
      <c r="H183">
        <v>5098.892288</v>
      </c>
      <c r="I183">
        <v>128</v>
      </c>
      <c r="J183">
        <v>0</v>
      </c>
      <c r="K183" s="2">
        <f t="shared" si="4"/>
        <v>82856.999679999994</v>
      </c>
      <c r="L183" s="2">
        <v>82856.999679999994</v>
      </c>
      <c r="M183" s="3">
        <f t="shared" si="5"/>
        <v>0</v>
      </c>
    </row>
    <row r="184" spans="1:13" x14ac:dyDescent="0.25">
      <c r="A184" t="s">
        <v>797</v>
      </c>
      <c r="B184" t="s">
        <v>74</v>
      </c>
      <c r="C184" t="s">
        <v>798</v>
      </c>
      <c r="D184" t="s">
        <v>13</v>
      </c>
      <c r="E184" t="s">
        <v>14</v>
      </c>
      <c r="F184" s="1">
        <v>45427</v>
      </c>
      <c r="G184" t="s">
        <v>798</v>
      </c>
      <c r="H184">
        <v>6021.5385200000001</v>
      </c>
      <c r="I184">
        <v>152</v>
      </c>
      <c r="J184">
        <v>0</v>
      </c>
      <c r="K184" s="2">
        <f t="shared" si="4"/>
        <v>82400.000799999994</v>
      </c>
      <c r="L184" s="2">
        <v>79999.99904000001</v>
      </c>
      <c r="M184" s="3">
        <f t="shared" si="5"/>
        <v>3.00000223600001E-2</v>
      </c>
    </row>
    <row r="185" spans="1:13" x14ac:dyDescent="0.25">
      <c r="A185" t="s">
        <v>1023</v>
      </c>
      <c r="B185" t="s">
        <v>240</v>
      </c>
      <c r="C185" t="s">
        <v>36</v>
      </c>
      <c r="D185" t="s">
        <v>13</v>
      </c>
      <c r="E185" t="s">
        <v>14</v>
      </c>
      <c r="F185" s="1">
        <v>45610</v>
      </c>
      <c r="G185" t="s">
        <v>36</v>
      </c>
      <c r="H185">
        <v>4661.415</v>
      </c>
      <c r="I185">
        <v>118.25</v>
      </c>
      <c r="J185">
        <v>0</v>
      </c>
      <c r="K185" s="2">
        <f t="shared" si="4"/>
        <v>81993.600000000006</v>
      </c>
      <c r="L185" s="2">
        <v>81993.599999999991</v>
      </c>
      <c r="M185" s="3">
        <f t="shared" si="5"/>
        <v>2.2204460492503131E-16</v>
      </c>
    </row>
    <row r="186" spans="1:13" x14ac:dyDescent="0.25">
      <c r="A186" t="s">
        <v>27</v>
      </c>
      <c r="B186" t="s">
        <v>28</v>
      </c>
      <c r="C186" t="s">
        <v>29</v>
      </c>
      <c r="D186" t="s">
        <v>13</v>
      </c>
      <c r="E186" t="s">
        <v>14</v>
      </c>
      <c r="F186" s="1">
        <v>42268</v>
      </c>
      <c r="G186" t="s">
        <v>29</v>
      </c>
      <c r="H186">
        <v>4410.7268800000002</v>
      </c>
      <c r="I186">
        <v>112</v>
      </c>
      <c r="J186">
        <v>0</v>
      </c>
      <c r="K186" s="2">
        <f t="shared" si="4"/>
        <v>81913.499200000006</v>
      </c>
      <c r="L186" s="2">
        <v>79143.500800000009</v>
      </c>
      <c r="M186" s="3">
        <f t="shared" si="5"/>
        <v>3.4999695136053388E-2</v>
      </c>
    </row>
    <row r="187" spans="1:13" x14ac:dyDescent="0.25">
      <c r="A187" t="s">
        <v>384</v>
      </c>
      <c r="B187" t="s">
        <v>247</v>
      </c>
      <c r="C187" t="s">
        <v>36</v>
      </c>
      <c r="D187" t="s">
        <v>13</v>
      </c>
      <c r="E187" t="s">
        <v>14</v>
      </c>
      <c r="F187" s="1">
        <v>32195</v>
      </c>
      <c r="G187" t="s">
        <v>36</v>
      </c>
      <c r="H187">
        <v>4709.5384830000003</v>
      </c>
      <c r="I187">
        <v>120</v>
      </c>
      <c r="J187">
        <v>0</v>
      </c>
      <c r="K187" s="2">
        <f t="shared" si="4"/>
        <v>81632.000371999995</v>
      </c>
      <c r="L187" s="2">
        <v>79625.000055302808</v>
      </c>
      <c r="M187" s="3">
        <f t="shared" si="5"/>
        <v>2.5205655451218112E-2</v>
      </c>
    </row>
    <row r="188" spans="1:13" x14ac:dyDescent="0.25">
      <c r="A188" t="s">
        <v>537</v>
      </c>
      <c r="B188" t="s">
        <v>118</v>
      </c>
      <c r="C188" t="s">
        <v>538</v>
      </c>
      <c r="D188" t="s">
        <v>13</v>
      </c>
      <c r="E188" t="s">
        <v>14</v>
      </c>
      <c r="F188" s="1">
        <v>44522</v>
      </c>
      <c r="G188" t="s">
        <v>538</v>
      </c>
      <c r="H188">
        <v>2821.5</v>
      </c>
      <c r="I188">
        <v>72</v>
      </c>
      <c r="J188">
        <v>0</v>
      </c>
      <c r="K188" s="2">
        <f t="shared" si="4"/>
        <v>81510</v>
      </c>
      <c r="L188" s="2">
        <v>78754</v>
      </c>
      <c r="M188" s="3">
        <f t="shared" si="5"/>
        <v>3.4995047870584273E-2</v>
      </c>
    </row>
    <row r="189" spans="1:13" x14ac:dyDescent="0.25">
      <c r="A189" t="s">
        <v>435</v>
      </c>
      <c r="B189" t="s">
        <v>182</v>
      </c>
      <c r="C189" t="s">
        <v>426</v>
      </c>
      <c r="D189" t="s">
        <v>13</v>
      </c>
      <c r="E189" t="s">
        <v>14</v>
      </c>
      <c r="F189" s="1">
        <v>41477</v>
      </c>
      <c r="G189" t="s">
        <v>426</v>
      </c>
      <c r="H189">
        <v>5317.4691679999996</v>
      </c>
      <c r="I189">
        <v>136</v>
      </c>
      <c r="J189">
        <v>0</v>
      </c>
      <c r="K189" s="2">
        <f t="shared" si="4"/>
        <v>81325.999039999995</v>
      </c>
      <c r="L189" s="2">
        <v>78956.999680000008</v>
      </c>
      <c r="M189" s="3">
        <f t="shared" si="5"/>
        <v>3.0003664901163463E-2</v>
      </c>
    </row>
    <row r="190" spans="1:13" x14ac:dyDescent="0.25">
      <c r="A190" t="s">
        <v>71</v>
      </c>
      <c r="B190" t="s">
        <v>72</v>
      </c>
      <c r="C190" t="s">
        <v>36</v>
      </c>
      <c r="D190" t="s">
        <v>13</v>
      </c>
      <c r="E190" t="s">
        <v>14</v>
      </c>
      <c r="F190" s="1">
        <v>42289</v>
      </c>
      <c r="G190" t="s">
        <v>36</v>
      </c>
      <c r="H190">
        <v>5288.0565839999999</v>
      </c>
      <c r="I190">
        <v>136</v>
      </c>
      <c r="J190">
        <v>0</v>
      </c>
      <c r="K190" s="2">
        <f t="shared" si="4"/>
        <v>80876.159520000001</v>
      </c>
      <c r="L190" s="2">
        <v>78520.160159999999</v>
      </c>
      <c r="M190" s="3">
        <f t="shared" si="5"/>
        <v>3.0005024890412901E-2</v>
      </c>
    </row>
    <row r="191" spans="1:13" x14ac:dyDescent="0.25">
      <c r="A191" t="s">
        <v>741</v>
      </c>
      <c r="B191" t="s">
        <v>742</v>
      </c>
      <c r="C191" t="s">
        <v>57</v>
      </c>
      <c r="D191" t="s">
        <v>13</v>
      </c>
      <c r="E191" t="s">
        <v>14</v>
      </c>
      <c r="F191" s="1">
        <v>42811</v>
      </c>
      <c r="G191" t="s">
        <v>57</v>
      </c>
      <c r="H191">
        <v>5901.6191840000001</v>
      </c>
      <c r="I191">
        <v>152</v>
      </c>
      <c r="J191">
        <v>0</v>
      </c>
      <c r="K191" s="2">
        <f t="shared" si="4"/>
        <v>80758.999360000002</v>
      </c>
      <c r="L191" s="2">
        <v>78406.999840000004</v>
      </c>
      <c r="M191" s="3">
        <f t="shared" si="5"/>
        <v>2.9997315607019459E-2</v>
      </c>
    </row>
    <row r="192" spans="1:13" x14ac:dyDescent="0.25">
      <c r="A192" t="s">
        <v>391</v>
      </c>
      <c r="B192" t="s">
        <v>392</v>
      </c>
      <c r="C192" t="s">
        <v>47</v>
      </c>
      <c r="D192" t="s">
        <v>13</v>
      </c>
      <c r="E192" t="s">
        <v>14</v>
      </c>
      <c r="F192" s="1">
        <v>38903</v>
      </c>
      <c r="G192" t="s">
        <v>47</v>
      </c>
      <c r="H192">
        <v>4861.8774999999996</v>
      </c>
      <c r="I192">
        <v>127</v>
      </c>
      <c r="J192">
        <v>0</v>
      </c>
      <c r="K192" s="2">
        <f t="shared" si="4"/>
        <v>79627.599999999991</v>
      </c>
      <c r="L192" s="2">
        <v>77381.599360000007</v>
      </c>
      <c r="M192" s="3">
        <f t="shared" si="5"/>
        <v>2.9024996363166133E-2</v>
      </c>
    </row>
    <row r="193" spans="1:13" x14ac:dyDescent="0.25">
      <c r="A193" t="s">
        <v>694</v>
      </c>
      <c r="B193" t="s">
        <v>695</v>
      </c>
      <c r="C193" t="s">
        <v>236</v>
      </c>
      <c r="D193" t="s">
        <v>13</v>
      </c>
      <c r="E193" t="s">
        <v>14</v>
      </c>
      <c r="F193" s="1">
        <v>45291</v>
      </c>
      <c r="G193" t="s">
        <v>236</v>
      </c>
      <c r="H193">
        <v>5769.6416879999997</v>
      </c>
      <c r="I193">
        <v>152</v>
      </c>
      <c r="J193">
        <v>0</v>
      </c>
      <c r="K193" s="2">
        <f t="shared" si="4"/>
        <v>78952.991519999996</v>
      </c>
      <c r="L193" s="2">
        <v>76652.991999999998</v>
      </c>
      <c r="M193" s="3">
        <f t="shared" si="5"/>
        <v>3.0005345649130044E-2</v>
      </c>
    </row>
    <row r="194" spans="1:13" x14ac:dyDescent="0.25">
      <c r="A194" t="s">
        <v>483</v>
      </c>
      <c r="B194" t="s">
        <v>484</v>
      </c>
      <c r="C194" t="s">
        <v>485</v>
      </c>
      <c r="D194" t="s">
        <v>13</v>
      </c>
      <c r="E194" t="s">
        <v>14</v>
      </c>
      <c r="F194" s="1">
        <v>30376</v>
      </c>
      <c r="G194" t="s">
        <v>485</v>
      </c>
      <c r="H194">
        <v>3787.0787999999998</v>
      </c>
      <c r="I194">
        <v>100</v>
      </c>
      <c r="J194">
        <v>0</v>
      </c>
      <c r="K194" s="2">
        <f t="shared" ref="K194:K257" si="6">(2080/I194)*H194</f>
        <v>78771.23904</v>
      </c>
      <c r="L194" s="2">
        <v>77226.239999999991</v>
      </c>
      <c r="M194" s="3">
        <f t="shared" si="5"/>
        <v>2.0006140917905757E-2</v>
      </c>
    </row>
    <row r="195" spans="1:13" x14ac:dyDescent="0.25">
      <c r="A195" t="s">
        <v>963</v>
      </c>
      <c r="B195" t="s">
        <v>215</v>
      </c>
      <c r="C195" t="s">
        <v>964</v>
      </c>
      <c r="D195" t="s">
        <v>13</v>
      </c>
      <c r="E195" t="s">
        <v>14</v>
      </c>
      <c r="F195" s="1">
        <v>36766</v>
      </c>
      <c r="G195" t="s">
        <v>964</v>
      </c>
      <c r="H195">
        <v>5119.6809599999997</v>
      </c>
      <c r="I195">
        <v>135.94999999999999</v>
      </c>
      <c r="J195">
        <v>0</v>
      </c>
      <c r="K195" s="2">
        <f t="shared" si="6"/>
        <v>78329.800638470027</v>
      </c>
      <c r="L195" s="2">
        <v>75316.800000000279</v>
      </c>
      <c r="M195" s="3">
        <f t="shared" ref="M195:M258" si="7">IFERROR((K195/L195)-1,0)</f>
        <v>4.0004363415197419E-2</v>
      </c>
    </row>
    <row r="196" spans="1:13" x14ac:dyDescent="0.25">
      <c r="A196" t="s">
        <v>938</v>
      </c>
      <c r="B196" t="s">
        <v>102</v>
      </c>
      <c r="C196" t="s">
        <v>36</v>
      </c>
      <c r="D196" t="s">
        <v>13</v>
      </c>
      <c r="E196" t="s">
        <v>14</v>
      </c>
      <c r="F196" s="1">
        <v>39027</v>
      </c>
      <c r="G196" t="s">
        <v>36</v>
      </c>
      <c r="H196">
        <v>5534.5811640000002</v>
      </c>
      <c r="I196">
        <v>147</v>
      </c>
      <c r="J196">
        <v>0</v>
      </c>
      <c r="K196" s="2">
        <f t="shared" si="6"/>
        <v>78312.440960000007</v>
      </c>
      <c r="L196" s="2">
        <v>76776.440011397252</v>
      </c>
      <c r="M196" s="3">
        <f t="shared" si="7"/>
        <v>2.0006149651830007E-2</v>
      </c>
    </row>
    <row r="197" spans="1:13" x14ac:dyDescent="0.25">
      <c r="A197" t="s">
        <v>814</v>
      </c>
      <c r="B197" t="s">
        <v>815</v>
      </c>
      <c r="C197" t="s">
        <v>381</v>
      </c>
      <c r="D197" t="s">
        <v>13</v>
      </c>
      <c r="E197" t="s">
        <v>14</v>
      </c>
      <c r="F197" s="1">
        <v>37599</v>
      </c>
      <c r="G197" t="s">
        <v>381</v>
      </c>
      <c r="H197">
        <v>5098.1860319999996</v>
      </c>
      <c r="I197">
        <v>136</v>
      </c>
      <c r="J197">
        <v>0</v>
      </c>
      <c r="K197" s="2">
        <f t="shared" si="6"/>
        <v>77972.256959999999</v>
      </c>
      <c r="L197" s="2">
        <v>75701.256800000003</v>
      </c>
      <c r="M197" s="3">
        <f t="shared" si="7"/>
        <v>2.9999504050506109E-2</v>
      </c>
    </row>
    <row r="198" spans="1:13" x14ac:dyDescent="0.25">
      <c r="A198" t="s">
        <v>311</v>
      </c>
      <c r="B198" t="s">
        <v>305</v>
      </c>
      <c r="C198" t="s">
        <v>271</v>
      </c>
      <c r="D198" t="s">
        <v>13</v>
      </c>
      <c r="E198" t="s">
        <v>14</v>
      </c>
      <c r="F198" s="1">
        <v>45257</v>
      </c>
      <c r="G198" t="s">
        <v>271</v>
      </c>
      <c r="H198">
        <v>5687.5083420000001</v>
      </c>
      <c r="I198">
        <v>152</v>
      </c>
      <c r="J198">
        <v>0</v>
      </c>
      <c r="K198" s="2">
        <f t="shared" si="6"/>
        <v>77829.061522105258</v>
      </c>
      <c r="L198" s="2" t="e">
        <v>#N/A</v>
      </c>
      <c r="M198" s="3">
        <f t="shared" si="7"/>
        <v>0</v>
      </c>
    </row>
    <row r="199" spans="1:13" x14ac:dyDescent="0.25">
      <c r="A199" t="s">
        <v>500</v>
      </c>
      <c r="B199" t="s">
        <v>175</v>
      </c>
      <c r="C199" t="s">
        <v>106</v>
      </c>
      <c r="D199" t="s">
        <v>13</v>
      </c>
      <c r="E199" t="s">
        <v>14</v>
      </c>
      <c r="F199" s="1">
        <v>40087</v>
      </c>
      <c r="G199" t="s">
        <v>106</v>
      </c>
      <c r="H199">
        <v>5074.3691680000002</v>
      </c>
      <c r="I199">
        <v>136</v>
      </c>
      <c r="J199">
        <v>0</v>
      </c>
      <c r="K199" s="2">
        <f t="shared" si="6"/>
        <v>77607.99904000001</v>
      </c>
      <c r="L199" s="2">
        <v>75348</v>
      </c>
      <c r="M199" s="3">
        <f t="shared" si="7"/>
        <v>2.9994147688060968E-2</v>
      </c>
    </row>
    <row r="200" spans="1:13" x14ac:dyDescent="0.25">
      <c r="A200" t="s">
        <v>411</v>
      </c>
      <c r="B200" t="s">
        <v>70</v>
      </c>
      <c r="C200" t="s">
        <v>23</v>
      </c>
      <c r="D200" t="s">
        <v>13</v>
      </c>
      <c r="E200" t="s">
        <v>14</v>
      </c>
      <c r="F200" s="1">
        <v>39258</v>
      </c>
      <c r="G200" t="s">
        <v>23</v>
      </c>
      <c r="H200">
        <v>5616.034592</v>
      </c>
      <c r="I200">
        <v>152</v>
      </c>
      <c r="J200">
        <v>0</v>
      </c>
      <c r="K200" s="2">
        <f t="shared" si="6"/>
        <v>76850.999679999994</v>
      </c>
      <c r="L200" s="2">
        <v>74360</v>
      </c>
      <c r="M200" s="3">
        <f t="shared" si="7"/>
        <v>3.3499188811188629E-2</v>
      </c>
    </row>
    <row r="201" spans="1:13" x14ac:dyDescent="0.25">
      <c r="A201" t="s">
        <v>750</v>
      </c>
      <c r="B201" t="s">
        <v>608</v>
      </c>
      <c r="C201" t="s">
        <v>82</v>
      </c>
      <c r="D201" t="s">
        <v>13</v>
      </c>
      <c r="E201" t="s">
        <v>14</v>
      </c>
      <c r="F201" s="1">
        <v>42821</v>
      </c>
      <c r="G201" t="s">
        <v>82</v>
      </c>
      <c r="H201">
        <v>5603.8308159999997</v>
      </c>
      <c r="I201">
        <v>152</v>
      </c>
      <c r="J201">
        <v>0</v>
      </c>
      <c r="K201" s="2">
        <f t="shared" si="6"/>
        <v>76684.000639999998</v>
      </c>
      <c r="L201" s="2">
        <v>74090.999840000004</v>
      </c>
      <c r="M201" s="3">
        <f t="shared" si="7"/>
        <v>3.4997513943658465E-2</v>
      </c>
    </row>
    <row r="202" spans="1:13" x14ac:dyDescent="0.25">
      <c r="A202" t="s">
        <v>312</v>
      </c>
      <c r="B202" t="s">
        <v>102</v>
      </c>
      <c r="C202" t="s">
        <v>36</v>
      </c>
      <c r="D202" t="s">
        <v>13</v>
      </c>
      <c r="E202" t="s">
        <v>14</v>
      </c>
      <c r="F202" s="1">
        <v>40525</v>
      </c>
      <c r="G202" t="s">
        <v>36</v>
      </c>
      <c r="H202">
        <v>5002.1153599999998</v>
      </c>
      <c r="I202">
        <v>136</v>
      </c>
      <c r="J202">
        <v>0</v>
      </c>
      <c r="K202" s="2">
        <f t="shared" si="6"/>
        <v>76502.940799999997</v>
      </c>
      <c r="L202" s="2">
        <v>75002.94047999999</v>
      </c>
      <c r="M202" s="3">
        <f t="shared" si="7"/>
        <v>1.9999220169241161E-2</v>
      </c>
    </row>
    <row r="203" spans="1:13" x14ac:dyDescent="0.25">
      <c r="A203" t="s">
        <v>138</v>
      </c>
      <c r="B203" t="s">
        <v>139</v>
      </c>
      <c r="C203" t="s">
        <v>47</v>
      </c>
      <c r="D203" t="s">
        <v>13</v>
      </c>
      <c r="E203" t="s">
        <v>14</v>
      </c>
      <c r="F203" s="1">
        <v>43207</v>
      </c>
      <c r="G203" t="s">
        <v>47</v>
      </c>
      <c r="H203">
        <v>4927.5278639999997</v>
      </c>
      <c r="I203">
        <v>134</v>
      </c>
      <c r="J203">
        <v>0</v>
      </c>
      <c r="K203" s="2">
        <f t="shared" si="6"/>
        <v>76486.999679999994</v>
      </c>
      <c r="L203" s="2">
        <v>74258.999388591066</v>
      </c>
      <c r="M203" s="3">
        <f t="shared" si="7"/>
        <v>3.0003101438924373E-2</v>
      </c>
    </row>
    <row r="204" spans="1:13" x14ac:dyDescent="0.25">
      <c r="A204" t="s">
        <v>1024</v>
      </c>
      <c r="B204" t="s">
        <v>1025</v>
      </c>
      <c r="C204" t="s">
        <v>1026</v>
      </c>
      <c r="D204" t="s">
        <v>13</v>
      </c>
      <c r="E204" t="s">
        <v>14</v>
      </c>
      <c r="F204" s="1">
        <v>42255</v>
      </c>
      <c r="G204" t="s">
        <v>1026</v>
      </c>
      <c r="H204">
        <v>5295.046182</v>
      </c>
      <c r="I204">
        <v>144</v>
      </c>
      <c r="J204">
        <v>0</v>
      </c>
      <c r="K204" s="2">
        <f t="shared" si="6"/>
        <v>76484.000406666673</v>
      </c>
      <c r="L204" s="2">
        <v>74984.000000000015</v>
      </c>
      <c r="M204" s="3">
        <f t="shared" si="7"/>
        <v>2.0004273000462147E-2</v>
      </c>
    </row>
    <row r="205" spans="1:13" x14ac:dyDescent="0.25">
      <c r="A205" t="s">
        <v>520</v>
      </c>
      <c r="B205" t="s">
        <v>92</v>
      </c>
      <c r="C205" t="s">
        <v>17</v>
      </c>
      <c r="D205" t="s">
        <v>13</v>
      </c>
      <c r="E205" t="s">
        <v>14</v>
      </c>
      <c r="F205" s="1">
        <v>38720</v>
      </c>
      <c r="G205" t="s">
        <v>17</v>
      </c>
      <c r="H205">
        <v>5480.6797260000003</v>
      </c>
      <c r="I205">
        <v>149.06666666666601</v>
      </c>
      <c r="J205">
        <v>0</v>
      </c>
      <c r="K205" s="2">
        <f t="shared" si="6"/>
        <v>76474.600827907328</v>
      </c>
      <c r="L205" s="2">
        <v>74609.600011105184</v>
      </c>
      <c r="M205" s="3">
        <f t="shared" si="7"/>
        <v>2.4996794199735106E-2</v>
      </c>
    </row>
    <row r="206" spans="1:13" x14ac:dyDescent="0.25">
      <c r="A206" t="s">
        <v>158</v>
      </c>
      <c r="B206" t="s">
        <v>159</v>
      </c>
      <c r="C206" t="s">
        <v>57</v>
      </c>
      <c r="D206" t="s">
        <v>13</v>
      </c>
      <c r="E206" t="s">
        <v>14</v>
      </c>
      <c r="F206" s="1">
        <v>44781</v>
      </c>
      <c r="G206" t="s">
        <v>57</v>
      </c>
      <c r="H206">
        <v>5265.2076479999996</v>
      </c>
      <c r="I206">
        <v>144</v>
      </c>
      <c r="J206">
        <v>0</v>
      </c>
      <c r="K206" s="2">
        <f t="shared" si="6"/>
        <v>76052.999360000002</v>
      </c>
      <c r="L206" s="2">
        <v>73127.999360000002</v>
      </c>
      <c r="M206" s="3">
        <f t="shared" si="7"/>
        <v>3.9998359391737015E-2</v>
      </c>
    </row>
    <row r="207" spans="1:13" x14ac:dyDescent="0.25">
      <c r="A207" t="s">
        <v>542</v>
      </c>
      <c r="B207" t="s">
        <v>467</v>
      </c>
      <c r="C207" t="s">
        <v>354</v>
      </c>
      <c r="D207" t="s">
        <v>13</v>
      </c>
      <c r="E207" t="s">
        <v>14</v>
      </c>
      <c r="F207" s="1">
        <v>37130</v>
      </c>
      <c r="G207" t="s">
        <v>354</v>
      </c>
      <c r="H207">
        <v>3767.8545490000001</v>
      </c>
      <c r="I207">
        <v>103.25</v>
      </c>
      <c r="J207">
        <v>0</v>
      </c>
      <c r="K207" s="2">
        <f t="shared" si="6"/>
        <v>75904.479050072638</v>
      </c>
      <c r="L207" s="2">
        <v>73693.478562975666</v>
      </c>
      <c r="M207" s="3">
        <f t="shared" si="7"/>
        <v>3.000266143234831E-2</v>
      </c>
    </row>
    <row r="208" spans="1:13" x14ac:dyDescent="0.25">
      <c r="A208" t="s">
        <v>101</v>
      </c>
      <c r="B208" t="s">
        <v>102</v>
      </c>
      <c r="C208" t="s">
        <v>36</v>
      </c>
      <c r="D208" t="s">
        <v>13</v>
      </c>
      <c r="E208" t="s">
        <v>14</v>
      </c>
      <c r="F208" s="1">
        <v>42513</v>
      </c>
      <c r="G208" t="s">
        <v>36</v>
      </c>
      <c r="H208">
        <v>5528.6105790000001</v>
      </c>
      <c r="I208">
        <v>152</v>
      </c>
      <c r="J208">
        <v>0</v>
      </c>
      <c r="K208" s="2">
        <f t="shared" si="6"/>
        <v>75654.671081052627</v>
      </c>
      <c r="L208" s="2">
        <v>73450.669792928762</v>
      </c>
      <c r="M208" s="3">
        <f t="shared" si="7"/>
        <v>3.0006551258652259E-2</v>
      </c>
    </row>
    <row r="209" spans="1:13" x14ac:dyDescent="0.25">
      <c r="A209" t="s">
        <v>573</v>
      </c>
      <c r="B209" t="s">
        <v>72</v>
      </c>
      <c r="C209" t="s">
        <v>36</v>
      </c>
      <c r="D209" t="s">
        <v>13</v>
      </c>
      <c r="E209" t="s">
        <v>14</v>
      </c>
      <c r="F209" s="1">
        <v>45678</v>
      </c>
      <c r="G209" t="s">
        <v>36</v>
      </c>
      <c r="H209">
        <v>5481.12</v>
      </c>
      <c r="I209">
        <v>152</v>
      </c>
      <c r="J209">
        <v>0</v>
      </c>
      <c r="K209" s="2">
        <f t="shared" si="6"/>
        <v>75004.800000000003</v>
      </c>
      <c r="L209" s="2">
        <v>75004.800000000003</v>
      </c>
      <c r="M209" s="3">
        <f t="shared" si="7"/>
        <v>0</v>
      </c>
    </row>
    <row r="210" spans="1:13" x14ac:dyDescent="0.25">
      <c r="A210" t="s">
        <v>946</v>
      </c>
      <c r="B210" t="s">
        <v>118</v>
      </c>
      <c r="C210" t="s">
        <v>947</v>
      </c>
      <c r="D210" t="s">
        <v>13</v>
      </c>
      <c r="E210" t="s">
        <v>14</v>
      </c>
      <c r="F210" s="1">
        <v>44459</v>
      </c>
      <c r="G210" t="s">
        <v>947</v>
      </c>
      <c r="H210">
        <v>5453.2922959999996</v>
      </c>
      <c r="I210">
        <v>152</v>
      </c>
      <c r="J210">
        <v>0</v>
      </c>
      <c r="K210" s="2">
        <f t="shared" si="6"/>
        <v>74623.999839999989</v>
      </c>
      <c r="L210" s="2">
        <v>72450.000480000002</v>
      </c>
      <c r="M210" s="3">
        <f t="shared" si="7"/>
        <v>3.0006892278767072E-2</v>
      </c>
    </row>
    <row r="211" spans="1:13" x14ac:dyDescent="0.25">
      <c r="A211" t="s">
        <v>759</v>
      </c>
      <c r="B211" t="s">
        <v>424</v>
      </c>
      <c r="C211" t="s">
        <v>36</v>
      </c>
      <c r="D211" t="s">
        <v>13</v>
      </c>
      <c r="E211" t="s">
        <v>14</v>
      </c>
      <c r="F211" s="1">
        <v>43360</v>
      </c>
      <c r="G211" t="s">
        <v>36</v>
      </c>
      <c r="H211">
        <v>4465.8569600000001</v>
      </c>
      <c r="I211">
        <v>124.5</v>
      </c>
      <c r="J211">
        <v>0</v>
      </c>
      <c r="K211" s="2">
        <f t="shared" si="6"/>
        <v>74610.301018473911</v>
      </c>
      <c r="L211" s="2">
        <v>73507.299840000007</v>
      </c>
      <c r="M211" s="3">
        <f t="shared" si="7"/>
        <v>1.5005328462271761E-2</v>
      </c>
    </row>
    <row r="212" spans="1:13" x14ac:dyDescent="0.25">
      <c r="A212" t="s">
        <v>975</v>
      </c>
      <c r="B212" t="s">
        <v>976</v>
      </c>
      <c r="C212" t="s">
        <v>977</v>
      </c>
      <c r="D212" t="s">
        <v>13</v>
      </c>
      <c r="E212" t="s">
        <v>14</v>
      </c>
      <c r="F212" s="1">
        <v>43864</v>
      </c>
      <c r="G212" t="s">
        <v>977</v>
      </c>
      <c r="H212">
        <v>5451.3777040000004</v>
      </c>
      <c r="I212">
        <v>152</v>
      </c>
      <c r="J212">
        <v>0</v>
      </c>
      <c r="K212" s="2">
        <f t="shared" si="6"/>
        <v>74597.800159999999</v>
      </c>
      <c r="L212" s="2">
        <v>71728.800000000003</v>
      </c>
      <c r="M212" s="3">
        <f t="shared" si="7"/>
        <v>3.9997883137596002E-2</v>
      </c>
    </row>
    <row r="213" spans="1:13" x14ac:dyDescent="0.25">
      <c r="A213" t="s">
        <v>691</v>
      </c>
      <c r="B213" t="s">
        <v>692</v>
      </c>
      <c r="C213" t="s">
        <v>328</v>
      </c>
      <c r="D213" t="s">
        <v>13</v>
      </c>
      <c r="E213" t="s">
        <v>14</v>
      </c>
      <c r="F213" s="1">
        <v>43269</v>
      </c>
      <c r="G213" t="s">
        <v>328</v>
      </c>
      <c r="H213">
        <v>4566.333952</v>
      </c>
      <c r="I213">
        <v>128</v>
      </c>
      <c r="J213">
        <v>0</v>
      </c>
      <c r="K213" s="2">
        <f t="shared" si="6"/>
        <v>74202.926720000003</v>
      </c>
      <c r="L213" s="2">
        <v>74202.926720000003</v>
      </c>
      <c r="M213" s="3">
        <f t="shared" si="7"/>
        <v>0</v>
      </c>
    </row>
    <row r="214" spans="1:13" x14ac:dyDescent="0.25">
      <c r="A214" t="s">
        <v>246</v>
      </c>
      <c r="B214" t="s">
        <v>247</v>
      </c>
      <c r="C214" t="s">
        <v>17</v>
      </c>
      <c r="D214" t="s">
        <v>13</v>
      </c>
      <c r="E214" t="s">
        <v>14</v>
      </c>
      <c r="F214" s="1">
        <v>44837</v>
      </c>
      <c r="G214" t="s">
        <v>17</v>
      </c>
      <c r="H214">
        <v>5223.9646849999999</v>
      </c>
      <c r="I214">
        <v>146.5</v>
      </c>
      <c r="J214">
        <v>0</v>
      </c>
      <c r="K214" s="2">
        <f t="shared" si="6"/>
        <v>74169.600988395905</v>
      </c>
      <c r="L214" s="2">
        <v>72009.599999999991</v>
      </c>
      <c r="M214" s="3">
        <f t="shared" si="7"/>
        <v>2.9996014259153103E-2</v>
      </c>
    </row>
    <row r="215" spans="1:13" x14ac:dyDescent="0.25">
      <c r="A215" t="s">
        <v>423</v>
      </c>
      <c r="B215" t="s">
        <v>424</v>
      </c>
      <c r="C215" t="s">
        <v>36</v>
      </c>
      <c r="D215" t="s">
        <v>13</v>
      </c>
      <c r="E215" t="s">
        <v>14</v>
      </c>
      <c r="F215" s="1">
        <v>30816</v>
      </c>
      <c r="G215" t="s">
        <v>36</v>
      </c>
      <c r="H215">
        <v>5385.36</v>
      </c>
      <c r="I215">
        <v>152</v>
      </c>
      <c r="J215">
        <v>0</v>
      </c>
      <c r="K215" s="2">
        <f t="shared" si="6"/>
        <v>73694.399999999994</v>
      </c>
      <c r="L215" s="2">
        <v>71548.399590112356</v>
      </c>
      <c r="M215" s="3">
        <f t="shared" si="7"/>
        <v>2.9993688498717974E-2</v>
      </c>
    </row>
    <row r="216" spans="1:13" x14ac:dyDescent="0.25">
      <c r="A216" t="s">
        <v>561</v>
      </c>
      <c r="B216" t="s">
        <v>292</v>
      </c>
      <c r="C216" t="s">
        <v>169</v>
      </c>
      <c r="D216" t="s">
        <v>13</v>
      </c>
      <c r="E216" t="s">
        <v>14</v>
      </c>
      <c r="F216" s="1">
        <v>42492</v>
      </c>
      <c r="G216" t="s">
        <v>169</v>
      </c>
      <c r="H216">
        <v>5076.104112</v>
      </c>
      <c r="I216">
        <v>144</v>
      </c>
      <c r="J216">
        <v>0</v>
      </c>
      <c r="K216" s="2">
        <f t="shared" si="6"/>
        <v>73321.503840000005</v>
      </c>
      <c r="L216" s="2">
        <v>71185.504000000001</v>
      </c>
      <c r="M216" s="3">
        <f t="shared" si="7"/>
        <v>3.0006106861307114E-2</v>
      </c>
    </row>
    <row r="217" spans="1:13" x14ac:dyDescent="0.25">
      <c r="A217" t="s">
        <v>634</v>
      </c>
      <c r="B217" t="s">
        <v>635</v>
      </c>
      <c r="C217" t="s">
        <v>47</v>
      </c>
      <c r="D217" t="s">
        <v>13</v>
      </c>
      <c r="E217" t="s">
        <v>14</v>
      </c>
      <c r="F217" s="1">
        <v>42912</v>
      </c>
      <c r="G217" t="s">
        <v>47</v>
      </c>
      <c r="H217">
        <v>5354.0537770000001</v>
      </c>
      <c r="I217">
        <v>152</v>
      </c>
      <c r="J217">
        <v>0</v>
      </c>
      <c r="K217" s="2">
        <f t="shared" si="6"/>
        <v>73265.999053684209</v>
      </c>
      <c r="L217" s="2">
        <v>70720</v>
      </c>
      <c r="M217" s="3">
        <f t="shared" si="7"/>
        <v>3.6001117840557262E-2</v>
      </c>
    </row>
    <row r="218" spans="1:13" x14ac:dyDescent="0.25">
      <c r="A218" t="s">
        <v>275</v>
      </c>
      <c r="B218" t="s">
        <v>16</v>
      </c>
      <c r="C218" t="s">
        <v>36</v>
      </c>
      <c r="D218" t="s">
        <v>13</v>
      </c>
      <c r="E218" t="s">
        <v>14</v>
      </c>
      <c r="F218" s="1">
        <v>43269</v>
      </c>
      <c r="G218" t="s">
        <v>36</v>
      </c>
      <c r="H218">
        <v>5215.0624209999996</v>
      </c>
      <c r="I218">
        <v>148.23333333333301</v>
      </c>
      <c r="J218">
        <v>0</v>
      </c>
      <c r="K218" s="2">
        <f t="shared" si="6"/>
        <v>73177.399386193094</v>
      </c>
      <c r="L218" s="2">
        <v>71046.39985962963</v>
      </c>
      <c r="M218" s="3">
        <f t="shared" si="7"/>
        <v>2.9994475874552506E-2</v>
      </c>
    </row>
    <row r="219" spans="1:13" x14ac:dyDescent="0.25">
      <c r="A219" t="s">
        <v>927</v>
      </c>
      <c r="B219" t="s">
        <v>292</v>
      </c>
      <c r="C219" t="s">
        <v>169</v>
      </c>
      <c r="D219" t="s">
        <v>13</v>
      </c>
      <c r="E219" t="s">
        <v>14</v>
      </c>
      <c r="F219" s="1">
        <v>42611</v>
      </c>
      <c r="G219" t="s">
        <v>169</v>
      </c>
      <c r="H219">
        <v>5175.6251689999999</v>
      </c>
      <c r="I219">
        <v>147.25</v>
      </c>
      <c r="J219">
        <v>0</v>
      </c>
      <c r="K219" s="2">
        <f t="shared" si="6"/>
        <v>73109.000689439723</v>
      </c>
      <c r="L219" s="2">
        <v>70980</v>
      </c>
      <c r="M219" s="3">
        <f t="shared" si="7"/>
        <v>2.9994374322903861E-2</v>
      </c>
    </row>
    <row r="220" spans="1:13" x14ac:dyDescent="0.25">
      <c r="A220" t="s">
        <v>601</v>
      </c>
      <c r="B220" t="s">
        <v>121</v>
      </c>
      <c r="C220" t="s">
        <v>602</v>
      </c>
      <c r="D220" t="s">
        <v>13</v>
      </c>
      <c r="E220" t="s">
        <v>14</v>
      </c>
      <c r="F220" s="1">
        <v>44929</v>
      </c>
      <c r="G220" t="s">
        <v>602</v>
      </c>
      <c r="H220">
        <v>4213.13724</v>
      </c>
      <c r="I220">
        <v>120</v>
      </c>
      <c r="J220">
        <v>0</v>
      </c>
      <c r="K220" s="2">
        <f t="shared" si="6"/>
        <v>73027.712159999995</v>
      </c>
      <c r="L220" s="2">
        <v>73027.712159999995</v>
      </c>
      <c r="M220" s="3">
        <f t="shared" si="7"/>
        <v>0</v>
      </c>
    </row>
    <row r="221" spans="1:13" x14ac:dyDescent="0.25">
      <c r="A221" t="s">
        <v>978</v>
      </c>
      <c r="B221" t="s">
        <v>78</v>
      </c>
      <c r="C221" t="s">
        <v>23</v>
      </c>
      <c r="D221" t="s">
        <v>13</v>
      </c>
      <c r="E221" t="s">
        <v>14</v>
      </c>
      <c r="F221" s="1">
        <v>32979</v>
      </c>
      <c r="G221" t="s">
        <v>23</v>
      </c>
      <c r="H221">
        <v>4760</v>
      </c>
      <c r="I221">
        <v>136</v>
      </c>
      <c r="J221">
        <v>0</v>
      </c>
      <c r="K221" s="2">
        <f t="shared" si="6"/>
        <v>72800</v>
      </c>
      <c r="L221" s="2">
        <v>72800</v>
      </c>
      <c r="M221" s="3">
        <f t="shared" si="7"/>
        <v>0</v>
      </c>
    </row>
    <row r="222" spans="1:13" x14ac:dyDescent="0.25">
      <c r="A222" t="s">
        <v>892</v>
      </c>
      <c r="B222" t="s">
        <v>893</v>
      </c>
      <c r="C222" t="s">
        <v>236</v>
      </c>
      <c r="D222" t="s">
        <v>13</v>
      </c>
      <c r="E222" t="s">
        <v>14</v>
      </c>
      <c r="F222" s="1">
        <v>41169</v>
      </c>
      <c r="G222" t="s">
        <v>236</v>
      </c>
      <c r="H222">
        <v>5204.5291129999996</v>
      </c>
      <c r="I222">
        <v>148.75</v>
      </c>
      <c r="J222">
        <v>0</v>
      </c>
      <c r="K222" s="2">
        <f t="shared" si="6"/>
        <v>72775.936504470577</v>
      </c>
      <c r="L222" s="2">
        <v>70655.936000000002</v>
      </c>
      <c r="M222" s="3">
        <f t="shared" si="7"/>
        <v>3.0004563303366094E-2</v>
      </c>
    </row>
    <row r="223" spans="1:13" x14ac:dyDescent="0.25">
      <c r="A223" t="s">
        <v>594</v>
      </c>
      <c r="B223" t="s">
        <v>347</v>
      </c>
      <c r="C223" t="s">
        <v>595</v>
      </c>
      <c r="D223" t="s">
        <v>13</v>
      </c>
      <c r="E223" t="s">
        <v>14</v>
      </c>
      <c r="F223" s="1">
        <v>45383</v>
      </c>
      <c r="G223" t="s">
        <v>595</v>
      </c>
      <c r="H223">
        <v>5305.3845920000003</v>
      </c>
      <c r="I223">
        <v>152</v>
      </c>
      <c r="J223">
        <v>0</v>
      </c>
      <c r="K223" s="2">
        <f t="shared" si="6"/>
        <v>72599.999680000008</v>
      </c>
      <c r="L223" s="2">
        <v>69999.999680000008</v>
      </c>
      <c r="M223" s="3">
        <f t="shared" si="7"/>
        <v>3.7142857312653099E-2</v>
      </c>
    </row>
    <row r="224" spans="1:13" x14ac:dyDescent="0.25">
      <c r="A224" t="s">
        <v>259</v>
      </c>
      <c r="B224" t="s">
        <v>260</v>
      </c>
      <c r="C224" t="s">
        <v>36</v>
      </c>
      <c r="D224" t="s">
        <v>13</v>
      </c>
      <c r="E224" t="s">
        <v>14</v>
      </c>
      <c r="F224" s="1">
        <v>44788</v>
      </c>
      <c r="G224" t="s">
        <v>36</v>
      </c>
      <c r="H224">
        <v>4464.5538589999996</v>
      </c>
      <c r="I224">
        <v>128</v>
      </c>
      <c r="J224">
        <v>0</v>
      </c>
      <c r="K224" s="2">
        <f t="shared" si="6"/>
        <v>72549.000208749989</v>
      </c>
      <c r="L224" s="2">
        <v>70096</v>
      </c>
      <c r="M224" s="3">
        <f t="shared" si="7"/>
        <v>3.4994867164317434E-2</v>
      </c>
    </row>
    <row r="225" spans="1:13" x14ac:dyDescent="0.25">
      <c r="A225" t="s">
        <v>55</v>
      </c>
      <c r="B225" t="s">
        <v>56</v>
      </c>
      <c r="C225" t="s">
        <v>57</v>
      </c>
      <c r="D225" t="s">
        <v>13</v>
      </c>
      <c r="E225" t="s">
        <v>14</v>
      </c>
      <c r="F225" s="1">
        <v>37375</v>
      </c>
      <c r="G225" t="s">
        <v>57</v>
      </c>
      <c r="H225">
        <v>5576.4553599999999</v>
      </c>
      <c r="I225">
        <v>160</v>
      </c>
      <c r="J225">
        <v>0</v>
      </c>
      <c r="K225" s="2">
        <f t="shared" si="6"/>
        <v>72493.919679999992</v>
      </c>
      <c r="L225" s="2">
        <v>70382.919360000014</v>
      </c>
      <c r="M225" s="3">
        <f t="shared" si="7"/>
        <v>2.9993077002141266E-2</v>
      </c>
    </row>
    <row r="226" spans="1:13" x14ac:dyDescent="0.25">
      <c r="A226" t="s">
        <v>827</v>
      </c>
      <c r="B226" t="s">
        <v>635</v>
      </c>
      <c r="C226" t="s">
        <v>47</v>
      </c>
      <c r="D226" t="s">
        <v>13</v>
      </c>
      <c r="E226" t="s">
        <v>14</v>
      </c>
      <c r="F226" s="1">
        <v>39531</v>
      </c>
      <c r="G226" t="s">
        <v>47</v>
      </c>
      <c r="H226">
        <v>5294.8766670000005</v>
      </c>
      <c r="I226">
        <v>151.933333333333</v>
      </c>
      <c r="J226">
        <v>0</v>
      </c>
      <c r="K226" s="2">
        <f t="shared" si="6"/>
        <v>72488.000004563568</v>
      </c>
      <c r="L226" s="2">
        <v>70720.000010197502</v>
      </c>
      <c r="M226" s="3">
        <f t="shared" si="7"/>
        <v>2.4999999916729854E-2</v>
      </c>
    </row>
    <row r="227" spans="1:13" x14ac:dyDescent="0.25">
      <c r="A227" t="s">
        <v>515</v>
      </c>
      <c r="B227" t="s">
        <v>516</v>
      </c>
      <c r="C227" t="s">
        <v>236</v>
      </c>
      <c r="D227" t="s">
        <v>13</v>
      </c>
      <c r="E227" t="s">
        <v>14</v>
      </c>
      <c r="F227" s="1">
        <v>45040</v>
      </c>
      <c r="G227" t="s">
        <v>236</v>
      </c>
      <c r="H227">
        <v>4879</v>
      </c>
      <c r="I227">
        <v>140</v>
      </c>
      <c r="J227">
        <v>0</v>
      </c>
      <c r="K227" s="2">
        <f t="shared" si="6"/>
        <v>72488</v>
      </c>
      <c r="L227" s="2">
        <v>70720</v>
      </c>
      <c r="M227" s="3">
        <f t="shared" si="7"/>
        <v>2.4999999999999911E-2</v>
      </c>
    </row>
    <row r="228" spans="1:13" x14ac:dyDescent="0.25">
      <c r="A228" t="s">
        <v>675</v>
      </c>
      <c r="B228" t="s">
        <v>94</v>
      </c>
      <c r="C228" t="s">
        <v>676</v>
      </c>
      <c r="D228" t="s">
        <v>13</v>
      </c>
      <c r="E228" t="s">
        <v>14</v>
      </c>
      <c r="F228" s="1">
        <v>44991</v>
      </c>
      <c r="G228" t="s">
        <v>676</v>
      </c>
      <c r="H228">
        <v>5281.6345920000003</v>
      </c>
      <c r="I228">
        <v>152</v>
      </c>
      <c r="J228">
        <v>0</v>
      </c>
      <c r="K228" s="2">
        <f t="shared" si="6"/>
        <v>72274.999680000008</v>
      </c>
      <c r="L228" s="2">
        <v>69999.999679999994</v>
      </c>
      <c r="M228" s="3">
        <f t="shared" si="7"/>
        <v>3.2500000148571573E-2</v>
      </c>
    </row>
    <row r="229" spans="1:13" x14ac:dyDescent="0.25">
      <c r="A229" t="s">
        <v>513</v>
      </c>
      <c r="B229" t="s">
        <v>292</v>
      </c>
      <c r="C229" t="s">
        <v>23</v>
      </c>
      <c r="D229" t="s">
        <v>13</v>
      </c>
      <c r="E229" t="s">
        <v>14</v>
      </c>
      <c r="F229" s="1">
        <v>42569</v>
      </c>
      <c r="G229" t="s">
        <v>23</v>
      </c>
      <c r="H229">
        <v>1942.742313</v>
      </c>
      <c r="I229">
        <v>56</v>
      </c>
      <c r="J229">
        <v>0</v>
      </c>
      <c r="K229" s="2">
        <f t="shared" si="6"/>
        <v>72159.000197142857</v>
      </c>
      <c r="L229" s="2">
        <v>69888</v>
      </c>
      <c r="M229" s="3">
        <f t="shared" si="7"/>
        <v>3.2494851721938778E-2</v>
      </c>
    </row>
    <row r="230" spans="1:13" x14ac:dyDescent="0.25">
      <c r="A230" t="s">
        <v>64</v>
      </c>
      <c r="B230" t="s">
        <v>65</v>
      </c>
      <c r="C230" t="s">
        <v>57</v>
      </c>
      <c r="D230" t="s">
        <v>13</v>
      </c>
      <c r="E230" t="s">
        <v>14</v>
      </c>
      <c r="F230" s="1">
        <v>45362</v>
      </c>
      <c r="G230" t="s">
        <v>57</v>
      </c>
      <c r="H230">
        <v>3604.9899599999999</v>
      </c>
      <c r="I230">
        <v>104</v>
      </c>
      <c r="J230">
        <v>0</v>
      </c>
      <c r="K230" s="2">
        <f t="shared" si="6"/>
        <v>72099.799199999994</v>
      </c>
      <c r="L230" s="2">
        <v>69999.90400000001</v>
      </c>
      <c r="M230" s="3">
        <f t="shared" si="7"/>
        <v>2.9998543998003058E-2</v>
      </c>
    </row>
    <row r="231" spans="1:13" x14ac:dyDescent="0.25">
      <c r="A231" t="s">
        <v>955</v>
      </c>
      <c r="B231" t="s">
        <v>145</v>
      </c>
      <c r="C231" t="s">
        <v>956</v>
      </c>
      <c r="D231" t="s">
        <v>13</v>
      </c>
      <c r="E231" t="s">
        <v>14</v>
      </c>
      <c r="F231" s="1">
        <v>42289</v>
      </c>
      <c r="G231" t="s">
        <v>956</v>
      </c>
      <c r="H231">
        <v>5267.2838160000001</v>
      </c>
      <c r="I231">
        <v>152</v>
      </c>
      <c r="J231">
        <v>0</v>
      </c>
      <c r="K231" s="2">
        <f t="shared" si="6"/>
        <v>72078.620640000008</v>
      </c>
      <c r="L231" s="2">
        <v>69641.621920000005</v>
      </c>
      <c r="M231" s="3">
        <f t="shared" si="7"/>
        <v>3.4993422795343232E-2</v>
      </c>
    </row>
    <row r="232" spans="1:13" x14ac:dyDescent="0.25">
      <c r="A232" t="s">
        <v>1002</v>
      </c>
      <c r="B232" t="s">
        <v>491</v>
      </c>
      <c r="C232" t="s">
        <v>57</v>
      </c>
      <c r="D232" t="s">
        <v>13</v>
      </c>
      <c r="E232" t="s">
        <v>14</v>
      </c>
      <c r="F232" s="1">
        <v>44977</v>
      </c>
      <c r="G232" t="s">
        <v>57</v>
      </c>
      <c r="H232">
        <v>4711.7461119999998</v>
      </c>
      <c r="I232">
        <v>136</v>
      </c>
      <c r="J232">
        <v>0</v>
      </c>
      <c r="K232" s="2">
        <f t="shared" si="6"/>
        <v>72061.999360000002</v>
      </c>
      <c r="L232" s="2">
        <v>68900</v>
      </c>
      <c r="M232" s="3">
        <f t="shared" si="7"/>
        <v>4.5892588679245394E-2</v>
      </c>
    </row>
    <row r="233" spans="1:13" x14ac:dyDescent="0.25">
      <c r="A233" t="s">
        <v>457</v>
      </c>
      <c r="B233" t="s">
        <v>28</v>
      </c>
      <c r="C233" t="s">
        <v>57</v>
      </c>
      <c r="D233" t="s">
        <v>13</v>
      </c>
      <c r="E233" t="s">
        <v>14</v>
      </c>
      <c r="F233" s="1">
        <v>45012</v>
      </c>
      <c r="G233" t="s">
        <v>57</v>
      </c>
      <c r="H233">
        <v>4843.0576600000004</v>
      </c>
      <c r="I233">
        <v>140</v>
      </c>
      <c r="J233">
        <v>0</v>
      </c>
      <c r="K233" s="2">
        <f t="shared" si="6"/>
        <v>71953.999520000012</v>
      </c>
      <c r="L233" s="2">
        <v>69858.000160000011</v>
      </c>
      <c r="M233" s="3">
        <f t="shared" si="7"/>
        <v>3.0003712605562782E-2</v>
      </c>
    </row>
    <row r="234" spans="1:13" x14ac:dyDescent="0.25">
      <c r="A234" t="s">
        <v>173</v>
      </c>
      <c r="B234" t="s">
        <v>121</v>
      </c>
      <c r="C234" t="s">
        <v>164</v>
      </c>
      <c r="D234" t="s">
        <v>13</v>
      </c>
      <c r="E234" t="s">
        <v>14</v>
      </c>
      <c r="F234" s="1">
        <v>44172</v>
      </c>
      <c r="G234" t="s">
        <v>164</v>
      </c>
      <c r="H234">
        <v>4670.6642689999999</v>
      </c>
      <c r="I234">
        <v>135.5</v>
      </c>
      <c r="J234">
        <v>0</v>
      </c>
      <c r="K234" s="2">
        <f t="shared" si="6"/>
        <v>71697.281767675275</v>
      </c>
      <c r="L234" s="2">
        <v>71697.281782690901</v>
      </c>
      <c r="M234" s="3">
        <f t="shared" si="7"/>
        <v>-2.0943091705305505E-10</v>
      </c>
    </row>
    <row r="235" spans="1:13" x14ac:dyDescent="0.25">
      <c r="A235" t="s">
        <v>229</v>
      </c>
      <c r="B235" t="s">
        <v>121</v>
      </c>
      <c r="C235" t="s">
        <v>164</v>
      </c>
      <c r="D235" t="s">
        <v>13</v>
      </c>
      <c r="E235" t="s">
        <v>14</v>
      </c>
      <c r="F235" s="1">
        <v>44606</v>
      </c>
      <c r="G235" t="s">
        <v>164</v>
      </c>
      <c r="H235">
        <v>3860.6228639999999</v>
      </c>
      <c r="I235">
        <v>112</v>
      </c>
      <c r="J235">
        <v>0</v>
      </c>
      <c r="K235" s="2">
        <f t="shared" si="6"/>
        <v>71697.281759999998</v>
      </c>
      <c r="L235" s="2">
        <v>71697.281774444447</v>
      </c>
      <c r="M235" s="3">
        <f t="shared" si="7"/>
        <v>-2.0146440071755478E-10</v>
      </c>
    </row>
    <row r="236" spans="1:13" x14ac:dyDescent="0.25">
      <c r="A236" t="s">
        <v>230</v>
      </c>
      <c r="B236" t="s">
        <v>121</v>
      </c>
      <c r="C236" t="s">
        <v>164</v>
      </c>
      <c r="D236" t="s">
        <v>13</v>
      </c>
      <c r="E236" t="s">
        <v>14</v>
      </c>
      <c r="F236" s="1">
        <v>33091</v>
      </c>
      <c r="G236" t="s">
        <v>164</v>
      </c>
      <c r="H236">
        <v>3860.6228639999999</v>
      </c>
      <c r="I236">
        <v>112</v>
      </c>
      <c r="J236">
        <v>0</v>
      </c>
      <c r="K236" s="2">
        <f t="shared" si="6"/>
        <v>71697.281759999998</v>
      </c>
      <c r="L236" s="2">
        <v>71697.281759999998</v>
      </c>
      <c r="M236" s="3">
        <f t="shared" si="7"/>
        <v>0</v>
      </c>
    </row>
    <row r="237" spans="1:13" x14ac:dyDescent="0.25">
      <c r="A237" t="s">
        <v>369</v>
      </c>
      <c r="B237" t="s">
        <v>121</v>
      </c>
      <c r="C237" t="s">
        <v>164</v>
      </c>
      <c r="D237" t="s">
        <v>13</v>
      </c>
      <c r="E237" t="s">
        <v>14</v>
      </c>
      <c r="F237" s="1">
        <v>43711</v>
      </c>
      <c r="G237" t="s">
        <v>164</v>
      </c>
      <c r="H237">
        <v>4136.3816399999996</v>
      </c>
      <c r="I237">
        <v>120</v>
      </c>
      <c r="J237">
        <v>0</v>
      </c>
      <c r="K237" s="2">
        <f t="shared" si="6"/>
        <v>71697.281759999983</v>
      </c>
      <c r="L237" s="2">
        <v>71697.281759999998</v>
      </c>
      <c r="M237" s="3">
        <f t="shared" si="7"/>
        <v>-2.2204460492503131E-16</v>
      </c>
    </row>
    <row r="238" spans="1:13" x14ac:dyDescent="0.25">
      <c r="A238" t="s">
        <v>680</v>
      </c>
      <c r="B238" t="s">
        <v>260</v>
      </c>
      <c r="C238" t="s">
        <v>36</v>
      </c>
      <c r="D238" t="s">
        <v>13</v>
      </c>
      <c r="E238" t="s">
        <v>14</v>
      </c>
      <c r="F238" s="1">
        <v>45390</v>
      </c>
      <c r="G238" t="s">
        <v>36</v>
      </c>
      <c r="H238">
        <v>4393.3538589999998</v>
      </c>
      <c r="I238">
        <v>128</v>
      </c>
      <c r="J238">
        <v>0</v>
      </c>
      <c r="K238" s="2">
        <f t="shared" si="6"/>
        <v>71392.000208750003</v>
      </c>
      <c r="L238" s="2">
        <v>69992</v>
      </c>
      <c r="M238" s="3">
        <f t="shared" si="7"/>
        <v>2.0002288958023806E-2</v>
      </c>
    </row>
    <row r="239" spans="1:13" x14ac:dyDescent="0.25">
      <c r="A239" t="s">
        <v>280</v>
      </c>
      <c r="B239" t="s">
        <v>121</v>
      </c>
      <c r="C239" t="s">
        <v>20</v>
      </c>
      <c r="D239" t="s">
        <v>13</v>
      </c>
      <c r="E239" t="s">
        <v>14</v>
      </c>
      <c r="F239" s="1">
        <v>44837</v>
      </c>
      <c r="G239" t="s">
        <v>20</v>
      </c>
      <c r="H239">
        <v>3841.5192480000001</v>
      </c>
      <c r="I239">
        <v>112</v>
      </c>
      <c r="J239">
        <v>0</v>
      </c>
      <c r="K239" s="2">
        <f t="shared" si="6"/>
        <v>71342.500320000006</v>
      </c>
      <c r="L239" s="2">
        <v>71342.500320000006</v>
      </c>
      <c r="M239" s="3">
        <f t="shared" si="7"/>
        <v>0</v>
      </c>
    </row>
    <row r="240" spans="1:13" x14ac:dyDescent="0.25">
      <c r="A240" t="s">
        <v>993</v>
      </c>
      <c r="B240" t="s">
        <v>121</v>
      </c>
      <c r="C240" t="s">
        <v>20</v>
      </c>
      <c r="D240" t="s">
        <v>13</v>
      </c>
      <c r="E240" t="s">
        <v>14</v>
      </c>
      <c r="F240" s="1">
        <v>41786</v>
      </c>
      <c r="G240" t="s">
        <v>20</v>
      </c>
      <c r="H240">
        <v>3841.5192480000001</v>
      </c>
      <c r="I240">
        <v>112</v>
      </c>
      <c r="J240">
        <v>0</v>
      </c>
      <c r="K240" s="2">
        <f t="shared" si="6"/>
        <v>71342.500320000006</v>
      </c>
      <c r="L240" s="2">
        <v>71342.500320000006</v>
      </c>
      <c r="M240" s="3">
        <f t="shared" si="7"/>
        <v>0</v>
      </c>
    </row>
    <row r="241" spans="1:13" x14ac:dyDescent="0.25">
      <c r="A241" t="s">
        <v>512</v>
      </c>
      <c r="B241" t="s">
        <v>121</v>
      </c>
      <c r="C241" t="s">
        <v>20</v>
      </c>
      <c r="D241" t="s">
        <v>13</v>
      </c>
      <c r="E241" t="s">
        <v>14</v>
      </c>
      <c r="F241" s="1">
        <v>44599</v>
      </c>
      <c r="G241" t="s">
        <v>20</v>
      </c>
      <c r="H241">
        <v>4115.9134800000002</v>
      </c>
      <c r="I241">
        <v>120</v>
      </c>
      <c r="J241">
        <v>0</v>
      </c>
      <c r="K241" s="2">
        <f t="shared" si="6"/>
        <v>71342.500319999992</v>
      </c>
      <c r="L241" s="2">
        <v>71342.500316785168</v>
      </c>
      <c r="M241" s="3">
        <f t="shared" si="7"/>
        <v>4.5061732123485854E-11</v>
      </c>
    </row>
    <row r="242" spans="1:13" x14ac:dyDescent="0.25">
      <c r="A242" t="s">
        <v>143</v>
      </c>
      <c r="B242" t="s">
        <v>33</v>
      </c>
      <c r="C242" t="s">
        <v>31</v>
      </c>
      <c r="D242" t="s">
        <v>13</v>
      </c>
      <c r="E242" t="s">
        <v>14</v>
      </c>
      <c r="F242" s="1">
        <v>44697</v>
      </c>
      <c r="G242" t="s">
        <v>31</v>
      </c>
      <c r="H242">
        <v>4367.68</v>
      </c>
      <c r="I242">
        <v>128</v>
      </c>
      <c r="J242">
        <v>0</v>
      </c>
      <c r="K242" s="2">
        <f t="shared" si="6"/>
        <v>70974.8</v>
      </c>
      <c r="L242" s="2">
        <v>68244.799989270046</v>
      </c>
      <c r="M242" s="3">
        <f t="shared" si="7"/>
        <v>4.0003048014781939E-2</v>
      </c>
    </row>
    <row r="243" spans="1:13" x14ac:dyDescent="0.25">
      <c r="A243" t="s">
        <v>234</v>
      </c>
      <c r="B243" t="s">
        <v>235</v>
      </c>
      <c r="C243" t="s">
        <v>236</v>
      </c>
      <c r="D243" t="s">
        <v>13</v>
      </c>
      <c r="E243" t="s">
        <v>14</v>
      </c>
      <c r="F243" s="1">
        <v>42450</v>
      </c>
      <c r="G243" t="s">
        <v>236</v>
      </c>
      <c r="H243">
        <v>3815.7753790000002</v>
      </c>
      <c r="I243">
        <v>112</v>
      </c>
      <c r="J243">
        <v>0</v>
      </c>
      <c r="K243" s="2">
        <f t="shared" si="6"/>
        <v>70864.39989571429</v>
      </c>
      <c r="L243" s="2">
        <v>68468.399999999994</v>
      </c>
      <c r="M243" s="3">
        <f t="shared" si="7"/>
        <v>3.4994243997439556E-2</v>
      </c>
    </row>
    <row r="244" spans="1:13" x14ac:dyDescent="0.25">
      <c r="A244" t="s">
        <v>920</v>
      </c>
      <c r="B244" t="s">
        <v>135</v>
      </c>
      <c r="C244" t="s">
        <v>63</v>
      </c>
      <c r="D244" t="s">
        <v>13</v>
      </c>
      <c r="E244" t="s">
        <v>14</v>
      </c>
      <c r="F244" s="1">
        <v>40441</v>
      </c>
      <c r="G244" t="s">
        <v>63</v>
      </c>
      <c r="H244">
        <v>5161.980517</v>
      </c>
      <c r="I244">
        <v>151.75</v>
      </c>
      <c r="J244">
        <v>0</v>
      </c>
      <c r="K244" s="2">
        <f t="shared" si="6"/>
        <v>70753.999837627678</v>
      </c>
      <c r="L244" s="2">
        <v>68693.000540052497</v>
      </c>
      <c r="M244" s="3">
        <f t="shared" si="7"/>
        <v>3.0003046618606755E-2</v>
      </c>
    </row>
    <row r="245" spans="1:13" x14ac:dyDescent="0.25">
      <c r="A245" t="s">
        <v>696</v>
      </c>
      <c r="B245" t="s">
        <v>186</v>
      </c>
      <c r="C245" t="s">
        <v>23</v>
      </c>
      <c r="D245" t="s">
        <v>13</v>
      </c>
      <c r="E245" t="s">
        <v>14</v>
      </c>
      <c r="F245" s="1">
        <v>41169</v>
      </c>
      <c r="G245" t="s">
        <v>23</v>
      </c>
      <c r="H245">
        <v>4895.307648</v>
      </c>
      <c r="I245">
        <v>144</v>
      </c>
      <c r="J245">
        <v>0</v>
      </c>
      <c r="K245" s="2">
        <f t="shared" si="6"/>
        <v>70709.999360000002</v>
      </c>
      <c r="L245" s="2">
        <v>67600</v>
      </c>
      <c r="M245" s="3">
        <f t="shared" si="7"/>
        <v>4.6005907692307613E-2</v>
      </c>
    </row>
    <row r="246" spans="1:13" x14ac:dyDescent="0.25">
      <c r="A246" t="s">
        <v>984</v>
      </c>
      <c r="B246" t="s">
        <v>347</v>
      </c>
      <c r="C246" t="s">
        <v>595</v>
      </c>
      <c r="D246" t="s">
        <v>13</v>
      </c>
      <c r="E246" t="s">
        <v>14</v>
      </c>
      <c r="F246" s="1">
        <v>44782</v>
      </c>
      <c r="G246" t="s">
        <v>595</v>
      </c>
      <c r="H246">
        <v>5131.7334080000001</v>
      </c>
      <c r="I246">
        <v>152</v>
      </c>
      <c r="J246">
        <v>0</v>
      </c>
      <c r="K246" s="2">
        <f t="shared" si="6"/>
        <v>70223.720319999993</v>
      </c>
      <c r="L246" s="2">
        <v>68392.719200000007</v>
      </c>
      <c r="M246" s="3">
        <f t="shared" si="7"/>
        <v>2.6771871939257341E-2</v>
      </c>
    </row>
    <row r="247" spans="1:13" x14ac:dyDescent="0.25">
      <c r="A247" t="s">
        <v>408</v>
      </c>
      <c r="B247" t="s">
        <v>118</v>
      </c>
      <c r="C247" t="s">
        <v>157</v>
      </c>
      <c r="D247" t="s">
        <v>13</v>
      </c>
      <c r="E247" t="s">
        <v>14</v>
      </c>
      <c r="F247" s="1">
        <v>44361</v>
      </c>
      <c r="G247" t="s">
        <v>157</v>
      </c>
      <c r="H247">
        <v>3779.1922559999998</v>
      </c>
      <c r="I247">
        <v>112</v>
      </c>
      <c r="J247">
        <v>0</v>
      </c>
      <c r="K247" s="2">
        <f t="shared" si="6"/>
        <v>70184.999039999995</v>
      </c>
      <c r="L247" s="2">
        <v>67485.999360000002</v>
      </c>
      <c r="M247" s="3">
        <f t="shared" si="7"/>
        <v>3.9993475766763709E-2</v>
      </c>
    </row>
    <row r="248" spans="1:13" x14ac:dyDescent="0.25">
      <c r="A248" t="s">
        <v>445</v>
      </c>
      <c r="B248" t="s">
        <v>35</v>
      </c>
      <c r="C248" t="s">
        <v>17</v>
      </c>
      <c r="D248" t="s">
        <v>13</v>
      </c>
      <c r="E248" t="s">
        <v>14</v>
      </c>
      <c r="F248" s="1">
        <v>44466</v>
      </c>
      <c r="G248" t="s">
        <v>17</v>
      </c>
      <c r="H248">
        <v>4834.0000700000001</v>
      </c>
      <c r="I248">
        <v>143.56666666666601</v>
      </c>
      <c r="J248">
        <v>0</v>
      </c>
      <c r="K248" s="2">
        <f t="shared" si="6"/>
        <v>70035.199528210214</v>
      </c>
      <c r="L248" s="2">
        <v>67995.199999999997</v>
      </c>
      <c r="M248" s="3">
        <f t="shared" si="7"/>
        <v>3.000211085797555E-2</v>
      </c>
    </row>
    <row r="249" spans="1:13" x14ac:dyDescent="0.25">
      <c r="A249" t="s">
        <v>966</v>
      </c>
      <c r="B249" t="s">
        <v>967</v>
      </c>
      <c r="C249" t="s">
        <v>968</v>
      </c>
      <c r="D249" t="s">
        <v>13</v>
      </c>
      <c r="E249" t="s">
        <v>14</v>
      </c>
      <c r="F249" s="1">
        <v>44256</v>
      </c>
      <c r="G249" t="s">
        <v>968</v>
      </c>
      <c r="H249">
        <v>3676.8822770000002</v>
      </c>
      <c r="I249">
        <v>109.25</v>
      </c>
      <c r="J249">
        <v>0</v>
      </c>
      <c r="K249" s="2">
        <f t="shared" si="6"/>
        <v>70003.799873318072</v>
      </c>
      <c r="L249" s="2">
        <v>67636.799360000005</v>
      </c>
      <c r="M249" s="3">
        <f t="shared" si="7"/>
        <v>3.4995749883426575E-2</v>
      </c>
    </row>
    <row r="250" spans="1:13" x14ac:dyDescent="0.25">
      <c r="A250" t="s">
        <v>233</v>
      </c>
      <c r="B250" t="s">
        <v>35</v>
      </c>
      <c r="C250" t="s">
        <v>17</v>
      </c>
      <c r="D250" t="s">
        <v>13</v>
      </c>
      <c r="E250" t="s">
        <v>14</v>
      </c>
      <c r="F250" s="1">
        <v>45789</v>
      </c>
      <c r="G250" t="s">
        <v>17</v>
      </c>
      <c r="H250">
        <v>4441.2391669999997</v>
      </c>
      <c r="I250">
        <v>131.98333333333301</v>
      </c>
      <c r="J250">
        <v>0</v>
      </c>
      <c r="K250" s="2">
        <f t="shared" si="6"/>
        <v>69992.000005253358</v>
      </c>
      <c r="L250" s="2">
        <v>69991.999996329236</v>
      </c>
      <c r="M250" s="3">
        <f t="shared" si="7"/>
        <v>1.2750200895084163E-10</v>
      </c>
    </row>
    <row r="251" spans="1:13" x14ac:dyDescent="0.25">
      <c r="A251" t="s">
        <v>743</v>
      </c>
      <c r="B251" t="s">
        <v>240</v>
      </c>
      <c r="C251" t="s">
        <v>36</v>
      </c>
      <c r="D251" t="s">
        <v>13</v>
      </c>
      <c r="E251" t="s">
        <v>14</v>
      </c>
      <c r="F251" s="1">
        <v>45810</v>
      </c>
      <c r="G251" t="s">
        <v>36</v>
      </c>
      <c r="H251">
        <v>3499.6</v>
      </c>
      <c r="I251">
        <v>104</v>
      </c>
      <c r="J251">
        <v>0</v>
      </c>
      <c r="K251" s="2">
        <f t="shared" si="6"/>
        <v>69992</v>
      </c>
      <c r="L251" s="2">
        <v>69992</v>
      </c>
      <c r="M251" s="3">
        <f t="shared" si="7"/>
        <v>0</v>
      </c>
    </row>
    <row r="252" spans="1:13" x14ac:dyDescent="0.25">
      <c r="A252" t="s">
        <v>397</v>
      </c>
      <c r="B252" t="s">
        <v>121</v>
      </c>
      <c r="C252" t="s">
        <v>31</v>
      </c>
      <c r="D252" t="s">
        <v>13</v>
      </c>
      <c r="E252" t="s">
        <v>14</v>
      </c>
      <c r="F252" s="1">
        <v>44453</v>
      </c>
      <c r="G252" t="s">
        <v>31</v>
      </c>
      <c r="H252">
        <v>4584.6747519999999</v>
      </c>
      <c r="I252">
        <v>136.25</v>
      </c>
      <c r="J252">
        <v>0</v>
      </c>
      <c r="K252" s="2">
        <f t="shared" si="6"/>
        <v>69989.897131449543</v>
      </c>
      <c r="L252" s="2">
        <v>69989.897119999994</v>
      </c>
      <c r="M252" s="3">
        <f t="shared" si="7"/>
        <v>1.6358869814325772E-10</v>
      </c>
    </row>
    <row r="253" spans="1:13" x14ac:dyDescent="0.25">
      <c r="A253" t="s">
        <v>172</v>
      </c>
      <c r="B253" t="s">
        <v>121</v>
      </c>
      <c r="C253" t="s">
        <v>164</v>
      </c>
      <c r="D253" t="s">
        <v>13</v>
      </c>
      <c r="E253" t="s">
        <v>14</v>
      </c>
      <c r="F253" s="1">
        <v>44105</v>
      </c>
      <c r="G253" t="s">
        <v>164</v>
      </c>
      <c r="H253">
        <v>3516.3193510000001</v>
      </c>
      <c r="I253">
        <v>104.5</v>
      </c>
      <c r="J253">
        <v>0</v>
      </c>
      <c r="K253" s="2">
        <f t="shared" si="6"/>
        <v>69989.897129952151</v>
      </c>
      <c r="L253" s="2">
        <v>69989.897119999994</v>
      </c>
      <c r="M253" s="3">
        <f t="shared" si="7"/>
        <v>1.421942563695211E-10</v>
      </c>
    </row>
    <row r="254" spans="1:13" x14ac:dyDescent="0.25">
      <c r="A254" t="s">
        <v>133</v>
      </c>
      <c r="B254" t="s">
        <v>121</v>
      </c>
      <c r="C254" t="s">
        <v>31</v>
      </c>
      <c r="D254" t="s">
        <v>13</v>
      </c>
      <c r="E254" t="s">
        <v>14</v>
      </c>
      <c r="F254" s="1">
        <v>44018</v>
      </c>
      <c r="G254" t="s">
        <v>31</v>
      </c>
      <c r="H254">
        <v>4593.0869990000001</v>
      </c>
      <c r="I254">
        <v>136.5</v>
      </c>
      <c r="J254">
        <v>0</v>
      </c>
      <c r="K254" s="2">
        <f t="shared" si="6"/>
        <v>69989.897127619042</v>
      </c>
      <c r="L254" s="2">
        <v>69989.897120000009</v>
      </c>
      <c r="M254" s="3">
        <f t="shared" si="7"/>
        <v>1.08859143921336E-10</v>
      </c>
    </row>
    <row r="255" spans="1:13" x14ac:dyDescent="0.25">
      <c r="A255" t="s">
        <v>313</v>
      </c>
      <c r="B255" t="s">
        <v>121</v>
      </c>
      <c r="C255" t="s">
        <v>31</v>
      </c>
      <c r="D255" t="s">
        <v>13</v>
      </c>
      <c r="E255" t="s">
        <v>14</v>
      </c>
      <c r="F255" s="1">
        <v>33022</v>
      </c>
      <c r="G255" t="s">
        <v>31</v>
      </c>
      <c r="H255">
        <v>2347.016983</v>
      </c>
      <c r="I255">
        <v>69.75</v>
      </c>
      <c r="J255">
        <v>0</v>
      </c>
      <c r="K255" s="2">
        <f t="shared" si="6"/>
        <v>69989.897127455202</v>
      </c>
      <c r="L255" s="2">
        <v>69989.897122829934</v>
      </c>
      <c r="M255" s="3">
        <f t="shared" si="7"/>
        <v>6.6084693273182893E-11</v>
      </c>
    </row>
    <row r="256" spans="1:13" x14ac:dyDescent="0.25">
      <c r="A256" t="s">
        <v>626</v>
      </c>
      <c r="B256" t="s">
        <v>121</v>
      </c>
      <c r="C256" t="s">
        <v>164</v>
      </c>
      <c r="D256" t="s">
        <v>13</v>
      </c>
      <c r="E256" t="s">
        <v>14</v>
      </c>
      <c r="F256" s="1">
        <v>44648</v>
      </c>
      <c r="G256" t="s">
        <v>164</v>
      </c>
      <c r="H256">
        <v>3053.6457519999999</v>
      </c>
      <c r="I256">
        <v>90.75</v>
      </c>
      <c r="J256">
        <v>0</v>
      </c>
      <c r="K256" s="2">
        <f t="shared" si="6"/>
        <v>69989.897125730029</v>
      </c>
      <c r="L256" s="2">
        <v>69989.897120000009</v>
      </c>
      <c r="M256" s="3">
        <f t="shared" si="7"/>
        <v>8.1869178103488593E-11</v>
      </c>
    </row>
    <row r="257" spans="1:13" x14ac:dyDescent="0.25">
      <c r="A257" t="s">
        <v>641</v>
      </c>
      <c r="B257" t="s">
        <v>121</v>
      </c>
      <c r="C257" t="s">
        <v>31</v>
      </c>
      <c r="D257" t="s">
        <v>13</v>
      </c>
      <c r="E257" t="s">
        <v>14</v>
      </c>
      <c r="F257" s="1">
        <v>43613</v>
      </c>
      <c r="G257" t="s">
        <v>31</v>
      </c>
      <c r="H257">
        <v>4837.0421690000003</v>
      </c>
      <c r="I257">
        <v>143.75</v>
      </c>
      <c r="J257">
        <v>0</v>
      </c>
      <c r="K257" s="2">
        <f t="shared" si="6"/>
        <v>69989.897123617397</v>
      </c>
      <c r="L257" s="2">
        <v>69989.897123426679</v>
      </c>
      <c r="M257" s="3">
        <f t="shared" si="7"/>
        <v>2.7249313916399842E-12</v>
      </c>
    </row>
    <row r="258" spans="1:13" x14ac:dyDescent="0.25">
      <c r="A258" t="s">
        <v>154</v>
      </c>
      <c r="B258" t="s">
        <v>121</v>
      </c>
      <c r="C258" t="s">
        <v>31</v>
      </c>
      <c r="D258" t="s">
        <v>13</v>
      </c>
      <c r="E258" t="s">
        <v>14</v>
      </c>
      <c r="F258" s="1">
        <v>45005</v>
      </c>
      <c r="G258" t="s">
        <v>31</v>
      </c>
      <c r="H258">
        <v>3230.302944</v>
      </c>
      <c r="I258">
        <v>96</v>
      </c>
      <c r="J258">
        <v>0</v>
      </c>
      <c r="K258" s="2">
        <f t="shared" ref="K258:K321" si="8">(2080/I258)*H258</f>
        <v>69989.897120000009</v>
      </c>
      <c r="L258" s="2">
        <v>69989.897119999994</v>
      </c>
      <c r="M258" s="3">
        <f t="shared" si="7"/>
        <v>2.2204460492503131E-16</v>
      </c>
    </row>
    <row r="259" spans="1:13" x14ac:dyDescent="0.25">
      <c r="A259" t="s">
        <v>264</v>
      </c>
      <c r="B259" t="s">
        <v>121</v>
      </c>
      <c r="C259" t="s">
        <v>164</v>
      </c>
      <c r="D259" t="s">
        <v>13</v>
      </c>
      <c r="E259" t="s">
        <v>14</v>
      </c>
      <c r="F259" s="1">
        <v>44235</v>
      </c>
      <c r="G259" t="s">
        <v>164</v>
      </c>
      <c r="H259">
        <v>4710.8584600000004</v>
      </c>
      <c r="I259">
        <v>140</v>
      </c>
      <c r="J259">
        <v>0</v>
      </c>
      <c r="K259" s="2">
        <f t="shared" si="8"/>
        <v>69989.897120000009</v>
      </c>
      <c r="L259" s="2">
        <v>69989.897119999994</v>
      </c>
      <c r="M259" s="3">
        <f t="shared" ref="M259:M322" si="9">IFERROR((K259/L259)-1,0)</f>
        <v>2.2204460492503131E-16</v>
      </c>
    </row>
    <row r="260" spans="1:13" x14ac:dyDescent="0.25">
      <c r="A260" t="s">
        <v>299</v>
      </c>
      <c r="B260" t="s">
        <v>121</v>
      </c>
      <c r="C260" t="s">
        <v>31</v>
      </c>
      <c r="D260" t="s">
        <v>13</v>
      </c>
      <c r="E260" t="s">
        <v>14</v>
      </c>
      <c r="F260" s="1">
        <v>44046</v>
      </c>
      <c r="G260" t="s">
        <v>31</v>
      </c>
      <c r="H260">
        <v>3936.9317129999999</v>
      </c>
      <c r="I260">
        <v>117</v>
      </c>
      <c r="J260">
        <v>0</v>
      </c>
      <c r="K260" s="2">
        <f t="shared" si="8"/>
        <v>69989.897120000009</v>
      </c>
      <c r="L260" s="2">
        <v>69989.897120000009</v>
      </c>
      <c r="M260" s="3">
        <f t="shared" si="9"/>
        <v>0</v>
      </c>
    </row>
    <row r="261" spans="1:13" x14ac:dyDescent="0.25">
      <c r="A261" t="s">
        <v>577</v>
      </c>
      <c r="B261" t="s">
        <v>121</v>
      </c>
      <c r="C261" t="s">
        <v>31</v>
      </c>
      <c r="D261" t="s">
        <v>13</v>
      </c>
      <c r="E261" t="s">
        <v>14</v>
      </c>
      <c r="F261" s="1">
        <v>44046</v>
      </c>
      <c r="G261" t="s">
        <v>31</v>
      </c>
      <c r="H261">
        <v>4576.2625040000003</v>
      </c>
      <c r="I261">
        <v>136</v>
      </c>
      <c r="J261">
        <v>0</v>
      </c>
      <c r="K261" s="2">
        <f t="shared" si="8"/>
        <v>69989.897120000009</v>
      </c>
      <c r="L261" s="2">
        <v>69989.897122909097</v>
      </c>
      <c r="M261" s="3">
        <f t="shared" si="9"/>
        <v>-4.1564418573614148E-11</v>
      </c>
    </row>
    <row r="262" spans="1:13" x14ac:dyDescent="0.25">
      <c r="A262" t="s">
        <v>655</v>
      </c>
      <c r="B262" t="s">
        <v>121</v>
      </c>
      <c r="C262" t="s">
        <v>31</v>
      </c>
      <c r="D262" t="s">
        <v>13</v>
      </c>
      <c r="E262" t="s">
        <v>14</v>
      </c>
      <c r="F262" s="1">
        <v>44501</v>
      </c>
      <c r="G262" t="s">
        <v>31</v>
      </c>
      <c r="H262">
        <v>3768.686768</v>
      </c>
      <c r="I262">
        <v>112</v>
      </c>
      <c r="J262">
        <v>0</v>
      </c>
      <c r="K262" s="2">
        <f t="shared" si="8"/>
        <v>69989.897120000009</v>
      </c>
      <c r="L262" s="2">
        <v>69989.897119999994</v>
      </c>
      <c r="M262" s="3">
        <f t="shared" si="9"/>
        <v>2.2204460492503131E-16</v>
      </c>
    </row>
    <row r="263" spans="1:13" x14ac:dyDescent="0.25">
      <c r="A263" t="s">
        <v>721</v>
      </c>
      <c r="B263" t="s">
        <v>121</v>
      </c>
      <c r="C263" t="s">
        <v>31</v>
      </c>
      <c r="D263" t="s">
        <v>13</v>
      </c>
      <c r="E263" t="s">
        <v>14</v>
      </c>
      <c r="F263" s="1">
        <v>44704</v>
      </c>
      <c r="G263" t="s">
        <v>31</v>
      </c>
      <c r="H263">
        <v>3768.686768</v>
      </c>
      <c r="I263">
        <v>112</v>
      </c>
      <c r="J263">
        <v>0</v>
      </c>
      <c r="K263" s="2">
        <f t="shared" si="8"/>
        <v>69989.897120000009</v>
      </c>
      <c r="L263" s="2">
        <v>69989.897120000009</v>
      </c>
      <c r="M263" s="3">
        <f t="shared" si="9"/>
        <v>0</v>
      </c>
    </row>
    <row r="264" spans="1:13" x14ac:dyDescent="0.25">
      <c r="A264" t="s">
        <v>912</v>
      </c>
      <c r="B264" t="s">
        <v>121</v>
      </c>
      <c r="C264" t="s">
        <v>31</v>
      </c>
      <c r="D264" t="s">
        <v>13</v>
      </c>
      <c r="E264" t="s">
        <v>14</v>
      </c>
      <c r="F264" s="1">
        <v>38319</v>
      </c>
      <c r="G264" t="s">
        <v>31</v>
      </c>
      <c r="H264">
        <v>3768.686768</v>
      </c>
      <c r="I264">
        <v>112</v>
      </c>
      <c r="J264">
        <v>0</v>
      </c>
      <c r="K264" s="2">
        <f t="shared" si="8"/>
        <v>69989.897120000009</v>
      </c>
      <c r="L264" s="2">
        <v>69989.897119999994</v>
      </c>
      <c r="M264" s="3">
        <f t="shared" si="9"/>
        <v>2.2204460492503131E-16</v>
      </c>
    </row>
    <row r="265" spans="1:13" x14ac:dyDescent="0.25">
      <c r="A265" t="s">
        <v>992</v>
      </c>
      <c r="B265" t="s">
        <v>121</v>
      </c>
      <c r="C265" t="s">
        <v>31</v>
      </c>
      <c r="D265" t="s">
        <v>13</v>
      </c>
      <c r="E265" t="s">
        <v>14</v>
      </c>
      <c r="F265" s="1">
        <v>44383</v>
      </c>
      <c r="G265" t="s">
        <v>31</v>
      </c>
      <c r="H265">
        <v>3768.686768</v>
      </c>
      <c r="I265">
        <v>112</v>
      </c>
      <c r="J265">
        <v>0</v>
      </c>
      <c r="K265" s="2">
        <f t="shared" si="8"/>
        <v>69989.897120000009</v>
      </c>
      <c r="L265" s="2">
        <v>69989.897119999994</v>
      </c>
      <c r="M265" s="3">
        <f t="shared" si="9"/>
        <v>2.2204460492503131E-16</v>
      </c>
    </row>
    <row r="266" spans="1:13" x14ac:dyDescent="0.25">
      <c r="A266" t="s">
        <v>1021</v>
      </c>
      <c r="B266" t="s">
        <v>121</v>
      </c>
      <c r="C266" t="s">
        <v>31</v>
      </c>
      <c r="D266" t="s">
        <v>13</v>
      </c>
      <c r="E266" t="s">
        <v>14</v>
      </c>
      <c r="F266" s="1">
        <v>44501</v>
      </c>
      <c r="G266" t="s">
        <v>31</v>
      </c>
      <c r="H266">
        <v>3936.9317129999999</v>
      </c>
      <c r="I266">
        <v>117</v>
      </c>
      <c r="J266">
        <v>0</v>
      </c>
      <c r="K266" s="2">
        <f t="shared" si="8"/>
        <v>69989.897120000009</v>
      </c>
      <c r="L266" s="2">
        <v>69989.897127349817</v>
      </c>
      <c r="M266" s="3">
        <f t="shared" si="9"/>
        <v>-1.0501244318561476E-10</v>
      </c>
    </row>
    <row r="267" spans="1:13" x14ac:dyDescent="0.25">
      <c r="A267" t="s">
        <v>140</v>
      </c>
      <c r="B267" t="s">
        <v>121</v>
      </c>
      <c r="C267" t="s">
        <v>31</v>
      </c>
      <c r="D267" t="s">
        <v>13</v>
      </c>
      <c r="E267" t="s">
        <v>14</v>
      </c>
      <c r="F267" s="1">
        <v>42317</v>
      </c>
      <c r="G267" t="s">
        <v>31</v>
      </c>
      <c r="H267">
        <v>3634.0908119999999</v>
      </c>
      <c r="I267">
        <v>108</v>
      </c>
      <c r="J267">
        <v>0</v>
      </c>
      <c r="K267" s="2">
        <f t="shared" si="8"/>
        <v>69989.897119999994</v>
      </c>
      <c r="L267" s="2">
        <v>69989.89711439352</v>
      </c>
      <c r="M267" s="3">
        <f t="shared" si="9"/>
        <v>8.010414553893952E-11</v>
      </c>
    </row>
    <row r="268" spans="1:13" x14ac:dyDescent="0.25">
      <c r="A268" t="s">
        <v>396</v>
      </c>
      <c r="B268" t="s">
        <v>121</v>
      </c>
      <c r="C268" t="s">
        <v>31</v>
      </c>
      <c r="D268" t="s">
        <v>13</v>
      </c>
      <c r="E268" t="s">
        <v>14</v>
      </c>
      <c r="F268" s="1">
        <v>44606</v>
      </c>
      <c r="G268" t="s">
        <v>31</v>
      </c>
      <c r="H268">
        <v>3566.7928339999999</v>
      </c>
      <c r="I268">
        <v>106</v>
      </c>
      <c r="J268">
        <v>0</v>
      </c>
      <c r="K268" s="2">
        <f t="shared" si="8"/>
        <v>69989.897119999994</v>
      </c>
      <c r="L268" s="2">
        <v>69989.897120000009</v>
      </c>
      <c r="M268" s="3">
        <f t="shared" si="9"/>
        <v>-2.2204460492503131E-16</v>
      </c>
    </row>
    <row r="269" spans="1:13" x14ac:dyDescent="0.25">
      <c r="A269" t="s">
        <v>456</v>
      </c>
      <c r="B269" t="s">
        <v>121</v>
      </c>
      <c r="C269" t="s">
        <v>31</v>
      </c>
      <c r="D269" t="s">
        <v>13</v>
      </c>
      <c r="E269" t="s">
        <v>14</v>
      </c>
      <c r="F269" s="1">
        <v>42873</v>
      </c>
      <c r="G269" t="s">
        <v>31</v>
      </c>
      <c r="H269">
        <v>4845.4544159999996</v>
      </c>
      <c r="I269">
        <v>144</v>
      </c>
      <c r="J269">
        <v>0</v>
      </c>
      <c r="K269" s="2">
        <f t="shared" si="8"/>
        <v>69989.897119999994</v>
      </c>
      <c r="L269" s="2">
        <v>69989.897119999994</v>
      </c>
      <c r="M269" s="3">
        <f t="shared" si="9"/>
        <v>0</v>
      </c>
    </row>
    <row r="270" spans="1:13" x14ac:dyDescent="0.25">
      <c r="A270" t="s">
        <v>509</v>
      </c>
      <c r="B270" t="s">
        <v>121</v>
      </c>
      <c r="C270" t="s">
        <v>31</v>
      </c>
      <c r="D270" t="s">
        <v>13</v>
      </c>
      <c r="E270" t="s">
        <v>14</v>
      </c>
      <c r="F270" s="1">
        <v>44046</v>
      </c>
      <c r="G270" t="s">
        <v>31</v>
      </c>
      <c r="H270">
        <v>5114.6463279999998</v>
      </c>
      <c r="I270">
        <v>152</v>
      </c>
      <c r="J270">
        <v>0</v>
      </c>
      <c r="K270" s="2">
        <f t="shared" si="8"/>
        <v>69989.897119999994</v>
      </c>
      <c r="L270" s="2">
        <v>69989.897120000009</v>
      </c>
      <c r="M270" s="3">
        <f t="shared" si="9"/>
        <v>-2.2204460492503131E-16</v>
      </c>
    </row>
    <row r="271" spans="1:13" x14ac:dyDescent="0.25">
      <c r="A271" t="s">
        <v>667</v>
      </c>
      <c r="B271" t="s">
        <v>121</v>
      </c>
      <c r="C271" t="s">
        <v>31</v>
      </c>
      <c r="D271" t="s">
        <v>13</v>
      </c>
      <c r="E271" t="s">
        <v>14</v>
      </c>
      <c r="F271" s="1">
        <v>32959</v>
      </c>
      <c r="G271" t="s">
        <v>31</v>
      </c>
      <c r="H271">
        <v>4845.4544159999996</v>
      </c>
      <c r="I271">
        <v>144</v>
      </c>
      <c r="J271">
        <v>0</v>
      </c>
      <c r="K271" s="2">
        <f t="shared" si="8"/>
        <v>69989.897119999994</v>
      </c>
      <c r="L271" s="2">
        <v>69989.897119999994</v>
      </c>
      <c r="M271" s="3">
        <f t="shared" si="9"/>
        <v>0</v>
      </c>
    </row>
    <row r="272" spans="1:13" x14ac:dyDescent="0.25">
      <c r="A272" t="s">
        <v>816</v>
      </c>
      <c r="B272" t="s">
        <v>121</v>
      </c>
      <c r="C272" t="s">
        <v>31</v>
      </c>
      <c r="D272" t="s">
        <v>13</v>
      </c>
      <c r="E272" t="s">
        <v>14</v>
      </c>
      <c r="F272" s="1">
        <v>44851</v>
      </c>
      <c r="G272" t="s">
        <v>31</v>
      </c>
      <c r="H272">
        <v>5114.6463279999998</v>
      </c>
      <c r="I272">
        <v>152</v>
      </c>
      <c r="J272">
        <v>0</v>
      </c>
      <c r="K272" s="2">
        <f t="shared" si="8"/>
        <v>69989.897119999994</v>
      </c>
      <c r="L272" s="2">
        <v>69989.897119999994</v>
      </c>
      <c r="M272" s="3">
        <f t="shared" si="9"/>
        <v>0</v>
      </c>
    </row>
    <row r="273" spans="1:13" x14ac:dyDescent="0.25">
      <c r="A273" t="s">
        <v>873</v>
      </c>
      <c r="B273" t="s">
        <v>121</v>
      </c>
      <c r="C273" t="s">
        <v>31</v>
      </c>
      <c r="D273" t="s">
        <v>13</v>
      </c>
      <c r="E273" t="s">
        <v>14</v>
      </c>
      <c r="F273" s="1">
        <v>34030</v>
      </c>
      <c r="G273" t="s">
        <v>31</v>
      </c>
      <c r="H273">
        <v>3499.4948559999998</v>
      </c>
      <c r="I273">
        <v>104</v>
      </c>
      <c r="J273">
        <v>0</v>
      </c>
      <c r="K273" s="2">
        <f t="shared" si="8"/>
        <v>69989.897119999994</v>
      </c>
      <c r="L273" s="2">
        <v>69989.897125793868</v>
      </c>
      <c r="M273" s="3">
        <f t="shared" si="9"/>
        <v>-8.2781559385125547E-11</v>
      </c>
    </row>
    <row r="274" spans="1:13" x14ac:dyDescent="0.25">
      <c r="A274" t="s">
        <v>882</v>
      </c>
      <c r="B274" t="s">
        <v>121</v>
      </c>
      <c r="C274" t="s">
        <v>164</v>
      </c>
      <c r="D274" t="s">
        <v>13</v>
      </c>
      <c r="E274" t="s">
        <v>14</v>
      </c>
      <c r="F274" s="1">
        <v>45446</v>
      </c>
      <c r="G274" t="s">
        <v>164</v>
      </c>
      <c r="H274">
        <v>5114.6463279999998</v>
      </c>
      <c r="I274">
        <v>152</v>
      </c>
      <c r="J274">
        <v>0</v>
      </c>
      <c r="K274" s="2">
        <f t="shared" si="8"/>
        <v>69989.897119999994</v>
      </c>
      <c r="L274" s="2">
        <v>69989.897119999994</v>
      </c>
      <c r="M274" s="3">
        <f t="shared" si="9"/>
        <v>0</v>
      </c>
    </row>
    <row r="275" spans="1:13" x14ac:dyDescent="0.25">
      <c r="A275" t="s">
        <v>952</v>
      </c>
      <c r="B275" t="s">
        <v>121</v>
      </c>
      <c r="C275" t="s">
        <v>31</v>
      </c>
      <c r="D275" t="s">
        <v>13</v>
      </c>
      <c r="E275" t="s">
        <v>14</v>
      </c>
      <c r="F275" s="1">
        <v>44082</v>
      </c>
      <c r="G275" t="s">
        <v>31</v>
      </c>
      <c r="H275">
        <v>5114.6463279999998</v>
      </c>
      <c r="I275">
        <v>152</v>
      </c>
      <c r="J275">
        <v>0</v>
      </c>
      <c r="K275" s="2">
        <f t="shared" si="8"/>
        <v>69989.897119999994</v>
      </c>
      <c r="L275" s="2">
        <v>69989.897119999994</v>
      </c>
      <c r="M275" s="3">
        <f t="shared" si="9"/>
        <v>0</v>
      </c>
    </row>
    <row r="276" spans="1:13" x14ac:dyDescent="0.25">
      <c r="A276" t="s">
        <v>979</v>
      </c>
      <c r="B276" t="s">
        <v>121</v>
      </c>
      <c r="C276" t="s">
        <v>31</v>
      </c>
      <c r="D276" t="s">
        <v>13</v>
      </c>
      <c r="E276" t="s">
        <v>14</v>
      </c>
      <c r="F276" s="1">
        <v>42163</v>
      </c>
      <c r="G276" t="s">
        <v>31</v>
      </c>
      <c r="H276">
        <v>5114.6463279999998</v>
      </c>
      <c r="I276">
        <v>152</v>
      </c>
      <c r="J276">
        <v>0</v>
      </c>
      <c r="K276" s="2">
        <f t="shared" si="8"/>
        <v>69989.897119999994</v>
      </c>
      <c r="L276" s="2">
        <v>69989.897119999994</v>
      </c>
      <c r="M276" s="3">
        <f t="shared" si="9"/>
        <v>0</v>
      </c>
    </row>
    <row r="277" spans="1:13" x14ac:dyDescent="0.25">
      <c r="A277" t="s">
        <v>753</v>
      </c>
      <c r="B277" t="s">
        <v>121</v>
      </c>
      <c r="C277" t="s">
        <v>31</v>
      </c>
      <c r="D277" t="s">
        <v>13</v>
      </c>
      <c r="E277" t="s">
        <v>14</v>
      </c>
      <c r="F277" s="1">
        <v>44692</v>
      </c>
      <c r="G277" t="s">
        <v>31</v>
      </c>
      <c r="H277">
        <v>4820.2176740000004</v>
      </c>
      <c r="I277">
        <v>143.25</v>
      </c>
      <c r="J277">
        <v>0</v>
      </c>
      <c r="K277" s="2">
        <f t="shared" si="8"/>
        <v>69989.89711636999</v>
      </c>
      <c r="L277" s="2">
        <v>69989.897120000009</v>
      </c>
      <c r="M277" s="3">
        <f t="shared" si="9"/>
        <v>-5.1864845751481425E-11</v>
      </c>
    </row>
    <row r="278" spans="1:13" x14ac:dyDescent="0.25">
      <c r="A278" t="s">
        <v>163</v>
      </c>
      <c r="B278" t="s">
        <v>121</v>
      </c>
      <c r="C278" t="s">
        <v>164</v>
      </c>
      <c r="D278" t="s">
        <v>13</v>
      </c>
      <c r="E278" t="s">
        <v>14</v>
      </c>
      <c r="F278" s="1">
        <v>44425</v>
      </c>
      <c r="G278" t="s">
        <v>164</v>
      </c>
      <c r="H278">
        <v>4719.2707069999997</v>
      </c>
      <c r="I278">
        <v>140.25</v>
      </c>
      <c r="J278">
        <v>0</v>
      </c>
      <c r="K278" s="2">
        <f t="shared" si="8"/>
        <v>69989.897116292326</v>
      </c>
      <c r="L278" s="2">
        <v>69989.897117115121</v>
      </c>
      <c r="M278" s="3">
        <f t="shared" si="9"/>
        <v>-1.1755929563150858E-11</v>
      </c>
    </row>
    <row r="279" spans="1:13" x14ac:dyDescent="0.25">
      <c r="A279" t="s">
        <v>574</v>
      </c>
      <c r="B279" t="s">
        <v>121</v>
      </c>
      <c r="C279" t="s">
        <v>31</v>
      </c>
      <c r="D279" t="s">
        <v>13</v>
      </c>
      <c r="E279" t="s">
        <v>14</v>
      </c>
      <c r="F279" s="1">
        <v>44620</v>
      </c>
      <c r="G279" t="s">
        <v>31</v>
      </c>
      <c r="H279">
        <v>2565.7354110000001</v>
      </c>
      <c r="I279">
        <v>76.25</v>
      </c>
      <c r="J279">
        <v>0</v>
      </c>
      <c r="K279" s="2">
        <f t="shared" si="8"/>
        <v>69989.897113180326</v>
      </c>
      <c r="L279" s="2">
        <v>69989.897119999994</v>
      </c>
      <c r="M279" s="3">
        <f t="shared" si="9"/>
        <v>-9.7437835577807164E-11</v>
      </c>
    </row>
    <row r="280" spans="1:13" x14ac:dyDescent="0.25">
      <c r="A280" t="s">
        <v>180</v>
      </c>
      <c r="B280" t="s">
        <v>121</v>
      </c>
      <c r="C280" t="s">
        <v>31</v>
      </c>
      <c r="D280" t="s">
        <v>13</v>
      </c>
      <c r="E280" t="s">
        <v>14</v>
      </c>
      <c r="F280" s="1">
        <v>45054</v>
      </c>
      <c r="G280" t="s">
        <v>31</v>
      </c>
      <c r="H280">
        <v>4963.0578750000004</v>
      </c>
      <c r="I280">
        <v>147.5</v>
      </c>
      <c r="J280">
        <v>0</v>
      </c>
      <c r="K280" s="2">
        <f t="shared" si="8"/>
        <v>69987.528000000006</v>
      </c>
      <c r="L280" s="2">
        <v>69987.528006108667</v>
      </c>
      <c r="M280" s="3">
        <f t="shared" si="9"/>
        <v>-8.7282181482351007E-11</v>
      </c>
    </row>
    <row r="281" spans="1:13" x14ac:dyDescent="0.25">
      <c r="A281" t="s">
        <v>720</v>
      </c>
      <c r="B281" t="s">
        <v>28</v>
      </c>
      <c r="C281" t="s">
        <v>57</v>
      </c>
      <c r="D281" t="s">
        <v>13</v>
      </c>
      <c r="E281" t="s">
        <v>14</v>
      </c>
      <c r="F281" s="1">
        <v>42268</v>
      </c>
      <c r="G281" t="s">
        <v>57</v>
      </c>
      <c r="H281">
        <v>4690.1346800000001</v>
      </c>
      <c r="I281">
        <v>140</v>
      </c>
      <c r="J281">
        <v>0</v>
      </c>
      <c r="K281" s="2">
        <f t="shared" si="8"/>
        <v>69682.000960000005</v>
      </c>
      <c r="L281" s="2">
        <v>67652</v>
      </c>
      <c r="M281" s="3">
        <f t="shared" si="9"/>
        <v>3.0006518063028453E-2</v>
      </c>
    </row>
    <row r="282" spans="1:13" x14ac:dyDescent="0.25">
      <c r="A282" t="s">
        <v>931</v>
      </c>
      <c r="B282" t="s">
        <v>92</v>
      </c>
      <c r="C282" t="s">
        <v>17</v>
      </c>
      <c r="D282" t="s">
        <v>13</v>
      </c>
      <c r="E282" t="s">
        <v>14</v>
      </c>
      <c r="F282" s="1">
        <v>44655</v>
      </c>
      <c r="G282" t="s">
        <v>17</v>
      </c>
      <c r="H282">
        <v>5081.4686570000003</v>
      </c>
      <c r="I282">
        <v>151.69999999999999</v>
      </c>
      <c r="J282">
        <v>0</v>
      </c>
      <c r="K282" s="2">
        <f t="shared" si="8"/>
        <v>69673.40017508241</v>
      </c>
      <c r="L282" s="2">
        <v>67974.400010950252</v>
      </c>
      <c r="M282" s="3">
        <f t="shared" si="9"/>
        <v>2.4994706299113378E-2</v>
      </c>
    </row>
    <row r="283" spans="1:13" x14ac:dyDescent="0.25">
      <c r="A283" t="s">
        <v>996</v>
      </c>
      <c r="B283" t="s">
        <v>124</v>
      </c>
      <c r="C283" t="s">
        <v>41</v>
      </c>
      <c r="D283" t="s">
        <v>13</v>
      </c>
      <c r="E283" t="s">
        <v>14</v>
      </c>
      <c r="F283" s="1">
        <v>34555</v>
      </c>
      <c r="G283" t="s">
        <v>41</v>
      </c>
      <c r="H283">
        <v>4955.8995839999998</v>
      </c>
      <c r="I283">
        <v>148</v>
      </c>
      <c r="J283">
        <v>0</v>
      </c>
      <c r="K283" s="2">
        <f t="shared" si="8"/>
        <v>69650.480639999994</v>
      </c>
      <c r="L283" s="2">
        <v>67650.479537879655</v>
      </c>
      <c r="M283" s="3">
        <f t="shared" si="9"/>
        <v>2.9563738731526179E-2</v>
      </c>
    </row>
    <row r="284" spans="1:13" x14ac:dyDescent="0.25">
      <c r="A284" t="s">
        <v>458</v>
      </c>
      <c r="B284" t="s">
        <v>459</v>
      </c>
      <c r="C284" t="s">
        <v>47</v>
      </c>
      <c r="D284" t="s">
        <v>13</v>
      </c>
      <c r="E284" t="s">
        <v>14</v>
      </c>
      <c r="F284" s="1">
        <v>36605</v>
      </c>
      <c r="G284" t="s">
        <v>47</v>
      </c>
      <c r="H284">
        <v>4820.8464000000004</v>
      </c>
      <c r="I284">
        <v>144</v>
      </c>
      <c r="J284">
        <v>0</v>
      </c>
      <c r="K284" s="2">
        <f t="shared" si="8"/>
        <v>69634.448000000004</v>
      </c>
      <c r="L284" s="2">
        <v>67606.448000000004</v>
      </c>
      <c r="M284" s="3">
        <f t="shared" si="9"/>
        <v>2.9997138734459083E-2</v>
      </c>
    </row>
    <row r="285" spans="1:13" x14ac:dyDescent="0.25">
      <c r="A285" t="s">
        <v>701</v>
      </c>
      <c r="B285" t="s">
        <v>186</v>
      </c>
      <c r="C285" t="s">
        <v>23</v>
      </c>
      <c r="D285" t="s">
        <v>13</v>
      </c>
      <c r="E285" t="s">
        <v>14</v>
      </c>
      <c r="F285" s="1">
        <v>31833</v>
      </c>
      <c r="G285" t="s">
        <v>23</v>
      </c>
      <c r="H285">
        <v>3478.3495760000001</v>
      </c>
      <c r="I285">
        <v>104</v>
      </c>
      <c r="J285">
        <v>0</v>
      </c>
      <c r="K285" s="2">
        <f t="shared" si="8"/>
        <v>69566.991519999996</v>
      </c>
      <c r="L285" s="2">
        <v>67084.991999999998</v>
      </c>
      <c r="M285" s="3">
        <f t="shared" si="9"/>
        <v>3.6997835819969849E-2</v>
      </c>
    </row>
    <row r="286" spans="1:13" x14ac:dyDescent="0.25">
      <c r="A286" t="s">
        <v>184</v>
      </c>
      <c r="B286" t="s">
        <v>19</v>
      </c>
      <c r="C286" t="s">
        <v>23</v>
      </c>
      <c r="D286" t="s">
        <v>13</v>
      </c>
      <c r="E286" t="s">
        <v>14</v>
      </c>
      <c r="F286" s="1">
        <v>43502</v>
      </c>
      <c r="G286" t="s">
        <v>23</v>
      </c>
      <c r="H286">
        <v>3743.04</v>
      </c>
      <c r="I286">
        <v>112</v>
      </c>
      <c r="J286">
        <v>0</v>
      </c>
      <c r="K286" s="2">
        <f t="shared" si="8"/>
        <v>69513.600000000006</v>
      </c>
      <c r="L286" s="2">
        <v>69513.600000000006</v>
      </c>
      <c r="M286" s="3">
        <f t="shared" si="9"/>
        <v>0</v>
      </c>
    </row>
    <row r="287" spans="1:13" x14ac:dyDescent="0.25">
      <c r="A287" t="s">
        <v>540</v>
      </c>
      <c r="B287" t="s">
        <v>541</v>
      </c>
      <c r="C287" t="s">
        <v>44</v>
      </c>
      <c r="D287" t="s">
        <v>13</v>
      </c>
      <c r="E287" t="s">
        <v>14</v>
      </c>
      <c r="F287" s="1">
        <v>43969</v>
      </c>
      <c r="G287" t="s">
        <v>44</v>
      </c>
      <c r="H287">
        <v>4005.8971200000001</v>
      </c>
      <c r="I287">
        <v>120</v>
      </c>
      <c r="J287">
        <v>0</v>
      </c>
      <c r="K287" s="2">
        <f t="shared" si="8"/>
        <v>69435.550080000001</v>
      </c>
      <c r="L287" s="2">
        <v>69435.550080000001</v>
      </c>
      <c r="M287" s="3">
        <f t="shared" si="9"/>
        <v>0</v>
      </c>
    </row>
    <row r="288" spans="1:13" x14ac:dyDescent="0.25">
      <c r="A288" t="s">
        <v>550</v>
      </c>
      <c r="B288" t="s">
        <v>541</v>
      </c>
      <c r="C288" t="s">
        <v>44</v>
      </c>
      <c r="D288" t="s">
        <v>13</v>
      </c>
      <c r="E288" t="s">
        <v>14</v>
      </c>
      <c r="F288" s="1">
        <v>44070</v>
      </c>
      <c r="G288" t="s">
        <v>44</v>
      </c>
      <c r="H288">
        <v>3738.8373120000001</v>
      </c>
      <c r="I288">
        <v>112</v>
      </c>
      <c r="J288">
        <v>0</v>
      </c>
      <c r="K288" s="2">
        <f t="shared" si="8"/>
        <v>69435.550080000001</v>
      </c>
      <c r="L288" s="2">
        <v>69435.550080000001</v>
      </c>
      <c r="M288" s="3">
        <f t="shared" si="9"/>
        <v>0</v>
      </c>
    </row>
    <row r="289" spans="1:13" x14ac:dyDescent="0.25">
      <c r="A289" t="s">
        <v>841</v>
      </c>
      <c r="B289" t="s">
        <v>541</v>
      </c>
      <c r="C289" t="s">
        <v>44</v>
      </c>
      <c r="D289" t="s">
        <v>13</v>
      </c>
      <c r="E289" t="s">
        <v>14</v>
      </c>
      <c r="F289" s="1">
        <v>43249</v>
      </c>
      <c r="G289" t="s">
        <v>44</v>
      </c>
      <c r="H289">
        <v>5074.1363520000004</v>
      </c>
      <c r="I289">
        <v>152</v>
      </c>
      <c r="J289">
        <v>0</v>
      </c>
      <c r="K289" s="2">
        <f t="shared" si="8"/>
        <v>69435.550080000001</v>
      </c>
      <c r="L289" s="2">
        <v>69435.550080000001</v>
      </c>
      <c r="M289" s="3">
        <f t="shared" si="9"/>
        <v>0</v>
      </c>
    </row>
    <row r="290" spans="1:13" x14ac:dyDescent="0.25">
      <c r="A290" t="s">
        <v>951</v>
      </c>
      <c r="B290" t="s">
        <v>541</v>
      </c>
      <c r="C290" t="s">
        <v>44</v>
      </c>
      <c r="D290" t="s">
        <v>13</v>
      </c>
      <c r="E290" t="s">
        <v>14</v>
      </c>
      <c r="F290" s="1">
        <v>32979</v>
      </c>
      <c r="G290" t="s">
        <v>44</v>
      </c>
      <c r="H290">
        <v>5074.1363520000004</v>
      </c>
      <c r="I290">
        <v>152</v>
      </c>
      <c r="J290">
        <v>0</v>
      </c>
      <c r="K290" s="2">
        <f t="shared" si="8"/>
        <v>69435.550080000001</v>
      </c>
      <c r="L290" s="2">
        <v>69435.550080000001</v>
      </c>
      <c r="M290" s="3">
        <f t="shared" si="9"/>
        <v>0</v>
      </c>
    </row>
    <row r="291" spans="1:13" x14ac:dyDescent="0.25">
      <c r="A291" t="s">
        <v>903</v>
      </c>
      <c r="B291" t="s">
        <v>541</v>
      </c>
      <c r="C291" t="s">
        <v>44</v>
      </c>
      <c r="D291" t="s">
        <v>13</v>
      </c>
      <c r="E291" t="s">
        <v>14</v>
      </c>
      <c r="F291" s="1">
        <v>44823</v>
      </c>
      <c r="G291" t="s">
        <v>44</v>
      </c>
      <c r="H291">
        <v>4940.24</v>
      </c>
      <c r="I291">
        <v>148</v>
      </c>
      <c r="J291">
        <v>0</v>
      </c>
      <c r="K291" s="2">
        <f t="shared" si="8"/>
        <v>69430.399999999994</v>
      </c>
      <c r="L291" s="2">
        <v>69989.897119999994</v>
      </c>
      <c r="M291" s="3">
        <f t="shared" si="9"/>
        <v>-7.9939697445293723E-3</v>
      </c>
    </row>
    <row r="292" spans="1:13" x14ac:dyDescent="0.25">
      <c r="A292" t="s">
        <v>217</v>
      </c>
      <c r="B292" t="s">
        <v>218</v>
      </c>
      <c r="C292" t="s">
        <v>36</v>
      </c>
      <c r="D292" t="s">
        <v>13</v>
      </c>
      <c r="E292" t="s">
        <v>14</v>
      </c>
      <c r="F292" s="1">
        <v>44669</v>
      </c>
      <c r="G292" t="s">
        <v>36</v>
      </c>
      <c r="H292">
        <v>5068.8785239999997</v>
      </c>
      <c r="I292">
        <v>152</v>
      </c>
      <c r="J292">
        <v>0</v>
      </c>
      <c r="K292" s="2">
        <f t="shared" si="8"/>
        <v>69363.60085473684</v>
      </c>
      <c r="L292" s="2">
        <v>67017.600000000006</v>
      </c>
      <c r="M292" s="3">
        <f t="shared" si="9"/>
        <v>3.5005742592048028E-2</v>
      </c>
    </row>
    <row r="293" spans="1:13" x14ac:dyDescent="0.25">
      <c r="A293" t="s">
        <v>544</v>
      </c>
      <c r="B293" t="s">
        <v>102</v>
      </c>
      <c r="C293" t="s">
        <v>17</v>
      </c>
      <c r="D293" t="s">
        <v>13</v>
      </c>
      <c r="E293" t="s">
        <v>14</v>
      </c>
      <c r="F293" s="1">
        <v>43108</v>
      </c>
      <c r="G293" t="s">
        <v>17</v>
      </c>
      <c r="H293">
        <v>2965.2404120000001</v>
      </c>
      <c r="I293">
        <v>89</v>
      </c>
      <c r="J293">
        <v>0</v>
      </c>
      <c r="K293" s="2">
        <f t="shared" si="8"/>
        <v>69300.000639999998</v>
      </c>
      <c r="L293" s="2">
        <v>66956.999199999991</v>
      </c>
      <c r="M293" s="3">
        <f t="shared" si="9"/>
        <v>3.499262912009371E-2</v>
      </c>
    </row>
    <row r="294" spans="1:13" x14ac:dyDescent="0.25">
      <c r="A294" t="s">
        <v>395</v>
      </c>
      <c r="B294" t="s">
        <v>92</v>
      </c>
      <c r="C294" t="s">
        <v>17</v>
      </c>
      <c r="D294" t="s">
        <v>13</v>
      </c>
      <c r="E294" t="s">
        <v>14</v>
      </c>
      <c r="F294" s="1">
        <v>45488</v>
      </c>
      <c r="G294" t="s">
        <v>17</v>
      </c>
      <c r="H294">
        <v>3680.8904189999998</v>
      </c>
      <c r="I294">
        <v>110.666666666666</v>
      </c>
      <c r="J294">
        <v>0</v>
      </c>
      <c r="K294" s="2">
        <f t="shared" si="8"/>
        <v>69183.000646265471</v>
      </c>
      <c r="L294" s="2">
        <v>67496</v>
      </c>
      <c r="M294" s="3">
        <f t="shared" si="9"/>
        <v>2.4994083297757985E-2</v>
      </c>
    </row>
    <row r="295" spans="1:13" x14ac:dyDescent="0.25">
      <c r="A295" t="s">
        <v>141</v>
      </c>
      <c r="B295" t="s">
        <v>33</v>
      </c>
      <c r="C295" t="s">
        <v>31</v>
      </c>
      <c r="D295" t="s">
        <v>13</v>
      </c>
      <c r="E295" t="s">
        <v>14</v>
      </c>
      <c r="F295" s="1">
        <v>44251</v>
      </c>
      <c r="G295" t="s">
        <v>31</v>
      </c>
      <c r="H295">
        <v>5043.228521</v>
      </c>
      <c r="I295">
        <v>152</v>
      </c>
      <c r="J295">
        <v>0</v>
      </c>
      <c r="K295" s="2">
        <f t="shared" si="8"/>
        <v>69012.600813684214</v>
      </c>
      <c r="L295" s="2">
        <v>65977.600000000006</v>
      </c>
      <c r="M295" s="3">
        <f t="shared" si="9"/>
        <v>4.6000473095174854E-2</v>
      </c>
    </row>
    <row r="296" spans="1:13" x14ac:dyDescent="0.25">
      <c r="A296" t="s">
        <v>129</v>
      </c>
      <c r="B296" t="s">
        <v>130</v>
      </c>
      <c r="C296" t="s">
        <v>29</v>
      </c>
      <c r="D296" t="s">
        <v>13</v>
      </c>
      <c r="E296" t="s">
        <v>14</v>
      </c>
      <c r="F296" s="1">
        <v>44965</v>
      </c>
      <c r="G296" t="s">
        <v>29</v>
      </c>
      <c r="H296">
        <v>5125.2404040000001</v>
      </c>
      <c r="I296">
        <v>154.5</v>
      </c>
      <c r="J296">
        <v>0</v>
      </c>
      <c r="K296" s="2">
        <f t="shared" si="8"/>
        <v>69000.000260970875</v>
      </c>
      <c r="L296" s="2">
        <v>66040</v>
      </c>
      <c r="M296" s="3">
        <f t="shared" si="9"/>
        <v>4.4821324363580883E-2</v>
      </c>
    </row>
    <row r="297" spans="1:13" x14ac:dyDescent="0.25">
      <c r="A297" t="s">
        <v>83</v>
      </c>
      <c r="B297" t="s">
        <v>84</v>
      </c>
      <c r="C297" t="s">
        <v>85</v>
      </c>
      <c r="D297" t="s">
        <v>13</v>
      </c>
      <c r="E297" t="s">
        <v>14</v>
      </c>
      <c r="F297" s="1">
        <v>44711</v>
      </c>
      <c r="G297" t="s">
        <v>85</v>
      </c>
      <c r="H297">
        <v>5041.462888</v>
      </c>
      <c r="I297">
        <v>152</v>
      </c>
      <c r="J297">
        <v>0</v>
      </c>
      <c r="K297" s="2">
        <f t="shared" si="8"/>
        <v>68988.43952</v>
      </c>
      <c r="L297" s="2">
        <v>66979.440319999994</v>
      </c>
      <c r="M297" s="3">
        <f t="shared" si="9"/>
        <v>2.9994266754123977E-2</v>
      </c>
    </row>
    <row r="298" spans="1:13" x14ac:dyDescent="0.25">
      <c r="A298" t="s">
        <v>214</v>
      </c>
      <c r="B298" t="s">
        <v>215</v>
      </c>
      <c r="C298" t="s">
        <v>216</v>
      </c>
      <c r="D298" t="s">
        <v>13</v>
      </c>
      <c r="E298" t="s">
        <v>14</v>
      </c>
      <c r="F298" s="1">
        <v>44249</v>
      </c>
      <c r="G298" t="s">
        <v>216</v>
      </c>
      <c r="H298">
        <v>3448.7000079999998</v>
      </c>
      <c r="I298">
        <v>104</v>
      </c>
      <c r="J298">
        <v>0</v>
      </c>
      <c r="K298" s="2">
        <f t="shared" si="8"/>
        <v>68974.000159999996</v>
      </c>
      <c r="L298" s="2">
        <v>67622.000159999996</v>
      </c>
      <c r="M298" s="3">
        <f t="shared" si="9"/>
        <v>1.9993493194537804E-2</v>
      </c>
    </row>
    <row r="299" spans="1:13" x14ac:dyDescent="0.25">
      <c r="A299" t="s">
        <v>269</v>
      </c>
      <c r="B299" t="s">
        <v>270</v>
      </c>
      <c r="C299" t="s">
        <v>271</v>
      </c>
      <c r="D299" t="s">
        <v>13</v>
      </c>
      <c r="E299" t="s">
        <v>14</v>
      </c>
      <c r="F299" s="1">
        <v>41960</v>
      </c>
      <c r="G299" t="s">
        <v>271</v>
      </c>
      <c r="H299">
        <v>5039.5308160000004</v>
      </c>
      <c r="I299">
        <v>152</v>
      </c>
      <c r="J299">
        <v>0</v>
      </c>
      <c r="K299" s="2">
        <f t="shared" si="8"/>
        <v>68962.000639999998</v>
      </c>
      <c r="L299" s="2">
        <v>66952.999465527377</v>
      </c>
      <c r="M299" s="3">
        <f t="shared" si="9"/>
        <v>3.0006141479994586E-2</v>
      </c>
    </row>
    <row r="300" spans="1:13" x14ac:dyDescent="0.25">
      <c r="A300" t="s">
        <v>668</v>
      </c>
      <c r="B300" t="s">
        <v>156</v>
      </c>
      <c r="C300" t="s">
        <v>538</v>
      </c>
      <c r="D300" t="s">
        <v>13</v>
      </c>
      <c r="E300" t="s">
        <v>14</v>
      </c>
      <c r="F300" s="1">
        <v>41960</v>
      </c>
      <c r="G300" t="s">
        <v>538</v>
      </c>
      <c r="H300">
        <v>3713.17688</v>
      </c>
      <c r="I300">
        <v>112</v>
      </c>
      <c r="J300">
        <v>0</v>
      </c>
      <c r="K300" s="2">
        <f t="shared" si="8"/>
        <v>68958.999200000006</v>
      </c>
      <c r="L300" s="2">
        <v>66950</v>
      </c>
      <c r="M300" s="3">
        <f t="shared" si="9"/>
        <v>3.0007456310679803E-2</v>
      </c>
    </row>
    <row r="301" spans="1:13" x14ac:dyDescent="0.25">
      <c r="A301" t="s">
        <v>618</v>
      </c>
      <c r="B301" t="s">
        <v>619</v>
      </c>
      <c r="C301" t="s">
        <v>29</v>
      </c>
      <c r="D301" t="s">
        <v>13</v>
      </c>
      <c r="E301" t="s">
        <v>14</v>
      </c>
      <c r="F301" s="1">
        <v>42885</v>
      </c>
      <c r="G301" t="s">
        <v>29</v>
      </c>
      <c r="H301">
        <v>4702.3163679999998</v>
      </c>
      <c r="I301">
        <v>142</v>
      </c>
      <c r="J301">
        <v>0</v>
      </c>
      <c r="K301" s="2">
        <f t="shared" si="8"/>
        <v>68879.000319999992</v>
      </c>
      <c r="L301" s="2">
        <v>66873.000480000002</v>
      </c>
      <c r="M301" s="3">
        <f t="shared" si="9"/>
        <v>2.9997156185625817E-2</v>
      </c>
    </row>
    <row r="302" spans="1:13" x14ac:dyDescent="0.25">
      <c r="A302" t="s">
        <v>66</v>
      </c>
      <c r="B302" t="s">
        <v>67</v>
      </c>
      <c r="C302" t="s">
        <v>68</v>
      </c>
      <c r="D302" t="s">
        <v>13</v>
      </c>
      <c r="E302" t="s">
        <v>14</v>
      </c>
      <c r="F302" s="1">
        <v>43985</v>
      </c>
      <c r="G302" t="s">
        <v>68</v>
      </c>
      <c r="H302">
        <v>4772.0812420000002</v>
      </c>
      <c r="I302">
        <v>144.25</v>
      </c>
      <c r="J302">
        <v>0</v>
      </c>
      <c r="K302" s="2">
        <f t="shared" si="8"/>
        <v>68810.599538024268</v>
      </c>
      <c r="L302" s="2">
        <v>65533.599099973791</v>
      </c>
      <c r="M302" s="3">
        <f t="shared" si="9"/>
        <v>5.0004890362442822E-2</v>
      </c>
    </row>
    <row r="303" spans="1:13" x14ac:dyDescent="0.25">
      <c r="A303" t="s">
        <v>439</v>
      </c>
      <c r="B303" t="s">
        <v>440</v>
      </c>
      <c r="C303" t="s">
        <v>106</v>
      </c>
      <c r="D303" t="s">
        <v>13</v>
      </c>
      <c r="E303" t="s">
        <v>14</v>
      </c>
      <c r="F303" s="1">
        <v>37963</v>
      </c>
      <c r="G303" t="s">
        <v>106</v>
      </c>
      <c r="H303">
        <v>3737.5043799999999</v>
      </c>
      <c r="I303">
        <v>113</v>
      </c>
      <c r="J303">
        <v>0</v>
      </c>
      <c r="K303" s="2">
        <f t="shared" si="8"/>
        <v>68796.540800000002</v>
      </c>
      <c r="L303" s="2">
        <v>66796.539724972987</v>
      </c>
      <c r="M303" s="3">
        <f t="shared" si="9"/>
        <v>2.9941686848776738E-2</v>
      </c>
    </row>
    <row r="304" spans="1:13" x14ac:dyDescent="0.25">
      <c r="A304" t="s">
        <v>659</v>
      </c>
      <c r="B304" t="s">
        <v>660</v>
      </c>
      <c r="C304" t="s">
        <v>79</v>
      </c>
      <c r="D304" t="s">
        <v>13</v>
      </c>
      <c r="E304" t="s">
        <v>14</v>
      </c>
      <c r="F304" s="1">
        <v>33309</v>
      </c>
      <c r="G304" t="s">
        <v>79</v>
      </c>
      <c r="H304">
        <v>4224</v>
      </c>
      <c r="I304">
        <v>128</v>
      </c>
      <c r="J304">
        <v>0</v>
      </c>
      <c r="K304" s="2">
        <f t="shared" si="8"/>
        <v>68640</v>
      </c>
      <c r="L304" s="2">
        <v>68640</v>
      </c>
      <c r="M304" s="3">
        <f t="shared" si="9"/>
        <v>0</v>
      </c>
    </row>
    <row r="305" spans="1:13" x14ac:dyDescent="0.25">
      <c r="A305" t="s">
        <v>767</v>
      </c>
      <c r="B305" t="s">
        <v>78</v>
      </c>
      <c r="C305" t="s">
        <v>31</v>
      </c>
      <c r="D305" t="s">
        <v>13</v>
      </c>
      <c r="E305" t="s">
        <v>14</v>
      </c>
      <c r="F305" s="1">
        <v>39244</v>
      </c>
      <c r="G305" t="s">
        <v>31</v>
      </c>
      <c r="H305">
        <v>3432</v>
      </c>
      <c r="I305">
        <v>104</v>
      </c>
      <c r="J305">
        <v>0</v>
      </c>
      <c r="K305" s="2">
        <f t="shared" si="8"/>
        <v>68640</v>
      </c>
      <c r="L305" s="2">
        <v>68640</v>
      </c>
      <c r="M305" s="3">
        <f t="shared" si="9"/>
        <v>0</v>
      </c>
    </row>
    <row r="306" spans="1:13" x14ac:dyDescent="0.25">
      <c r="A306" t="s">
        <v>764</v>
      </c>
      <c r="B306" t="s">
        <v>193</v>
      </c>
      <c r="C306" t="s">
        <v>162</v>
      </c>
      <c r="D306" t="s">
        <v>13</v>
      </c>
      <c r="E306" t="s">
        <v>14</v>
      </c>
      <c r="F306" s="1">
        <v>40688</v>
      </c>
      <c r="G306" t="s">
        <v>162</v>
      </c>
      <c r="H306">
        <v>4834.4295339999999</v>
      </c>
      <c r="I306">
        <v>146.5</v>
      </c>
      <c r="J306">
        <v>0</v>
      </c>
      <c r="K306" s="2">
        <f t="shared" si="8"/>
        <v>68638.999527098975</v>
      </c>
      <c r="L306" s="2">
        <v>66640.000960000005</v>
      </c>
      <c r="M306" s="3">
        <f t="shared" si="9"/>
        <v>2.9996976865274139E-2</v>
      </c>
    </row>
    <row r="307" spans="1:13" x14ac:dyDescent="0.25">
      <c r="A307" t="s">
        <v>160</v>
      </c>
      <c r="B307" t="s">
        <v>161</v>
      </c>
      <c r="C307" t="s">
        <v>162</v>
      </c>
      <c r="D307" t="s">
        <v>13</v>
      </c>
      <c r="E307" t="s">
        <v>14</v>
      </c>
      <c r="F307" s="1">
        <v>43010</v>
      </c>
      <c r="G307" t="s">
        <v>162</v>
      </c>
      <c r="H307">
        <v>4750.7268960000001</v>
      </c>
      <c r="I307">
        <v>144</v>
      </c>
      <c r="J307">
        <v>0</v>
      </c>
      <c r="K307" s="2">
        <f t="shared" si="8"/>
        <v>68621.610719999997</v>
      </c>
      <c r="L307" s="2">
        <v>66397.610240000009</v>
      </c>
      <c r="M307" s="3">
        <f t="shared" si="9"/>
        <v>3.3495188636475604E-2</v>
      </c>
    </row>
    <row r="308" spans="1:13" x14ac:dyDescent="0.25">
      <c r="A308" t="s">
        <v>400</v>
      </c>
      <c r="B308" t="s">
        <v>401</v>
      </c>
      <c r="C308" t="s">
        <v>236</v>
      </c>
      <c r="D308" t="s">
        <v>13</v>
      </c>
      <c r="E308" t="s">
        <v>14</v>
      </c>
      <c r="F308" s="1">
        <v>44694</v>
      </c>
      <c r="G308" t="s">
        <v>236</v>
      </c>
      <c r="H308">
        <v>4998.8999999999996</v>
      </c>
      <c r="I308">
        <v>152</v>
      </c>
      <c r="J308">
        <v>0</v>
      </c>
      <c r="K308" s="2">
        <f t="shared" si="8"/>
        <v>68406</v>
      </c>
      <c r="L308" s="2">
        <v>66414.000639999998</v>
      </c>
      <c r="M308" s="3">
        <f t="shared" si="9"/>
        <v>2.9993666106604921E-2</v>
      </c>
    </row>
    <row r="309" spans="1:13" x14ac:dyDescent="0.25">
      <c r="A309" t="s">
        <v>177</v>
      </c>
      <c r="B309" t="s">
        <v>178</v>
      </c>
      <c r="C309" t="s">
        <v>179</v>
      </c>
      <c r="D309" t="s">
        <v>13</v>
      </c>
      <c r="E309" t="s">
        <v>14</v>
      </c>
      <c r="F309" s="1">
        <v>39181</v>
      </c>
      <c r="G309" t="s">
        <v>179</v>
      </c>
      <c r="H309">
        <v>3681.5159389999999</v>
      </c>
      <c r="I309">
        <v>112</v>
      </c>
      <c r="J309">
        <v>0</v>
      </c>
      <c r="K309" s="2">
        <f t="shared" si="8"/>
        <v>68371.010295714295</v>
      </c>
      <c r="L309" s="2">
        <v>66059.009172000005</v>
      </c>
      <c r="M309" s="3">
        <f t="shared" si="9"/>
        <v>3.4999028182430836E-2</v>
      </c>
    </row>
    <row r="310" spans="1:13" x14ac:dyDescent="0.25">
      <c r="A310" t="s">
        <v>657</v>
      </c>
      <c r="B310" t="s">
        <v>292</v>
      </c>
      <c r="C310" t="s">
        <v>430</v>
      </c>
      <c r="D310" t="s">
        <v>13</v>
      </c>
      <c r="E310" t="s">
        <v>14</v>
      </c>
      <c r="F310" s="1">
        <v>41876</v>
      </c>
      <c r="G310" t="s">
        <v>430</v>
      </c>
      <c r="H310">
        <v>4989.9700039999998</v>
      </c>
      <c r="I310">
        <v>152</v>
      </c>
      <c r="J310">
        <v>0</v>
      </c>
      <c r="K310" s="2">
        <f t="shared" si="8"/>
        <v>68283.800054736843</v>
      </c>
      <c r="L310" s="2">
        <v>66294.8</v>
      </c>
      <c r="M310" s="3">
        <f t="shared" si="9"/>
        <v>3.000235395139339E-2</v>
      </c>
    </row>
    <row r="311" spans="1:13" x14ac:dyDescent="0.25">
      <c r="A311" t="s">
        <v>1043</v>
      </c>
      <c r="B311" t="s">
        <v>424</v>
      </c>
      <c r="C311" t="s">
        <v>17</v>
      </c>
      <c r="D311" t="s">
        <v>13</v>
      </c>
      <c r="E311" t="s">
        <v>14</v>
      </c>
      <c r="F311" s="1">
        <v>43907</v>
      </c>
      <c r="G311" t="s">
        <v>17</v>
      </c>
      <c r="H311">
        <v>4457.0600000000004</v>
      </c>
      <c r="I311">
        <v>136</v>
      </c>
      <c r="J311">
        <v>0</v>
      </c>
      <c r="K311" s="2">
        <f t="shared" si="8"/>
        <v>68166.8</v>
      </c>
      <c r="L311" s="2">
        <v>65861.80025904761</v>
      </c>
      <c r="M311" s="3">
        <f t="shared" si="9"/>
        <v>3.4997521049931368E-2</v>
      </c>
    </row>
    <row r="312" spans="1:13" x14ac:dyDescent="0.25">
      <c r="A312" t="s">
        <v>1008</v>
      </c>
      <c r="B312" t="s">
        <v>94</v>
      </c>
      <c r="C312" t="s">
        <v>1009</v>
      </c>
      <c r="D312" t="s">
        <v>13</v>
      </c>
      <c r="E312" t="s">
        <v>14</v>
      </c>
      <c r="F312" s="1">
        <v>32461</v>
      </c>
      <c r="G312" t="s">
        <v>1009</v>
      </c>
      <c r="H312">
        <v>4649.0547239999996</v>
      </c>
      <c r="I312">
        <v>142</v>
      </c>
      <c r="J312">
        <v>0</v>
      </c>
      <c r="K312" s="2">
        <f t="shared" si="8"/>
        <v>68098.829759999993</v>
      </c>
      <c r="L312" s="2">
        <v>65954.830246135694</v>
      </c>
      <c r="M312" s="3">
        <f t="shared" si="9"/>
        <v>3.2507088652387495E-2</v>
      </c>
    </row>
    <row r="313" spans="1:13" x14ac:dyDescent="0.25">
      <c r="A313" t="s">
        <v>919</v>
      </c>
      <c r="B313" t="s">
        <v>462</v>
      </c>
      <c r="C313" t="s">
        <v>36</v>
      </c>
      <c r="D313" t="s">
        <v>13</v>
      </c>
      <c r="E313" t="s">
        <v>14</v>
      </c>
      <c r="F313" s="1">
        <v>44396</v>
      </c>
      <c r="G313" t="s">
        <v>36</v>
      </c>
      <c r="H313">
        <v>4483.5621490000003</v>
      </c>
      <c r="I313">
        <v>137</v>
      </c>
      <c r="J313">
        <v>0</v>
      </c>
      <c r="K313" s="2">
        <f t="shared" si="8"/>
        <v>68071.600510364966</v>
      </c>
      <c r="L313" s="2">
        <v>65769.599999999991</v>
      </c>
      <c r="M313" s="3">
        <f t="shared" si="9"/>
        <v>3.5000980853843844E-2</v>
      </c>
    </row>
    <row r="314" spans="1:13" x14ac:dyDescent="0.25">
      <c r="A314" t="s">
        <v>116</v>
      </c>
      <c r="B314" t="s">
        <v>108</v>
      </c>
      <c r="C314" t="s">
        <v>57</v>
      </c>
      <c r="D314" t="s">
        <v>13</v>
      </c>
      <c r="E314" t="s">
        <v>14</v>
      </c>
      <c r="F314" s="1">
        <v>45166</v>
      </c>
      <c r="G314" t="s">
        <v>57</v>
      </c>
      <c r="H314">
        <v>4834.7615839999999</v>
      </c>
      <c r="I314">
        <v>148</v>
      </c>
      <c r="J314">
        <v>0</v>
      </c>
      <c r="K314" s="2">
        <f t="shared" si="8"/>
        <v>67948.000639999998</v>
      </c>
      <c r="L314" s="2">
        <v>67275</v>
      </c>
      <c r="M314" s="3">
        <f t="shared" si="9"/>
        <v>1.0003725603864755E-2</v>
      </c>
    </row>
    <row r="315" spans="1:13" x14ac:dyDescent="0.25">
      <c r="A315" t="s">
        <v>377</v>
      </c>
      <c r="B315" t="s">
        <v>102</v>
      </c>
      <c r="C315" t="s">
        <v>17</v>
      </c>
      <c r="D315" t="s">
        <v>13</v>
      </c>
      <c r="E315" t="s">
        <v>14</v>
      </c>
      <c r="F315" s="1">
        <v>43439</v>
      </c>
      <c r="G315" t="s">
        <v>17</v>
      </c>
      <c r="H315">
        <v>3431.4030210000001</v>
      </c>
      <c r="I315">
        <v>105.25</v>
      </c>
      <c r="J315">
        <v>0</v>
      </c>
      <c r="K315" s="2">
        <f t="shared" si="8"/>
        <v>67813.000319999992</v>
      </c>
      <c r="L315" s="2">
        <v>65520</v>
      </c>
      <c r="M315" s="3">
        <f t="shared" si="9"/>
        <v>3.4996952380952351E-2</v>
      </c>
    </row>
    <row r="316" spans="1:13" x14ac:dyDescent="0.25">
      <c r="A316" t="s">
        <v>288</v>
      </c>
      <c r="B316" t="s">
        <v>215</v>
      </c>
      <c r="C316" t="s">
        <v>41</v>
      </c>
      <c r="D316" t="s">
        <v>13</v>
      </c>
      <c r="E316" t="s">
        <v>14</v>
      </c>
      <c r="F316" s="1">
        <v>44592</v>
      </c>
      <c r="G316" t="s">
        <v>41</v>
      </c>
      <c r="H316">
        <v>4277.5886819999996</v>
      </c>
      <c r="I316">
        <v>131.38333333333301</v>
      </c>
      <c r="J316">
        <v>0</v>
      </c>
      <c r="K316" s="2">
        <f t="shared" si="8"/>
        <v>67720.800141266183</v>
      </c>
      <c r="L316" s="2">
        <v>65748.800000000003</v>
      </c>
      <c r="M316" s="3">
        <f t="shared" si="9"/>
        <v>2.9992944985553827E-2</v>
      </c>
    </row>
    <row r="317" spans="1:13" x14ac:dyDescent="0.25">
      <c r="A317" t="s">
        <v>1039</v>
      </c>
      <c r="B317" t="s">
        <v>351</v>
      </c>
      <c r="C317" t="s">
        <v>352</v>
      </c>
      <c r="D317" t="s">
        <v>13</v>
      </c>
      <c r="E317" t="s">
        <v>14</v>
      </c>
      <c r="F317" s="1">
        <v>44790</v>
      </c>
      <c r="G317" t="s">
        <v>352</v>
      </c>
      <c r="H317">
        <v>4947.7900010000003</v>
      </c>
      <c r="I317">
        <v>152</v>
      </c>
      <c r="J317">
        <v>0</v>
      </c>
      <c r="K317" s="2">
        <f t="shared" si="8"/>
        <v>67706.600013684219</v>
      </c>
      <c r="L317" s="2">
        <v>65734.599839999995</v>
      </c>
      <c r="M317" s="3">
        <f t="shared" si="9"/>
        <v>2.9999424633056826E-2</v>
      </c>
    </row>
    <row r="318" spans="1:13" x14ac:dyDescent="0.25">
      <c r="A318" t="s">
        <v>120</v>
      </c>
      <c r="B318" t="s">
        <v>121</v>
      </c>
      <c r="C318" t="s">
        <v>31</v>
      </c>
      <c r="D318" t="s">
        <v>13</v>
      </c>
      <c r="E318" t="s">
        <v>14</v>
      </c>
      <c r="F318" s="1">
        <v>43339</v>
      </c>
      <c r="G318" t="s">
        <v>31</v>
      </c>
      <c r="H318">
        <v>4421.5096000000003</v>
      </c>
      <c r="I318">
        <v>136</v>
      </c>
      <c r="J318">
        <v>0</v>
      </c>
      <c r="K318" s="2">
        <f t="shared" si="8"/>
        <v>67623.088000000003</v>
      </c>
      <c r="L318" s="2">
        <v>67623.088000000003</v>
      </c>
      <c r="M318" s="3">
        <f t="shared" si="9"/>
        <v>0</v>
      </c>
    </row>
    <row r="319" spans="1:13" x14ac:dyDescent="0.25">
      <c r="A319" t="s">
        <v>806</v>
      </c>
      <c r="B319" t="s">
        <v>182</v>
      </c>
      <c r="C319" t="s">
        <v>807</v>
      </c>
      <c r="D319" t="s">
        <v>13</v>
      </c>
      <c r="E319" t="s">
        <v>14</v>
      </c>
      <c r="F319" s="1">
        <v>35198</v>
      </c>
      <c r="G319" t="s">
        <v>807</v>
      </c>
      <c r="H319">
        <v>4147.649418</v>
      </c>
      <c r="I319">
        <v>127.75</v>
      </c>
      <c r="J319">
        <v>0</v>
      </c>
      <c r="K319" s="2">
        <f t="shared" si="8"/>
        <v>67531.199917338541</v>
      </c>
      <c r="L319" s="2">
        <v>65564.200095438602</v>
      </c>
      <c r="M319" s="3">
        <f t="shared" si="9"/>
        <v>3.0001125904635106E-2</v>
      </c>
    </row>
    <row r="320" spans="1:13" x14ac:dyDescent="0.25">
      <c r="A320" t="s">
        <v>817</v>
      </c>
      <c r="B320" t="s">
        <v>118</v>
      </c>
      <c r="C320" t="s">
        <v>818</v>
      </c>
      <c r="D320" t="s">
        <v>13</v>
      </c>
      <c r="E320" t="s">
        <v>14</v>
      </c>
      <c r="F320" s="1">
        <v>44592</v>
      </c>
      <c r="G320" t="s">
        <v>818</v>
      </c>
      <c r="H320">
        <v>4916.25</v>
      </c>
      <c r="I320">
        <v>152</v>
      </c>
      <c r="J320">
        <v>0</v>
      </c>
      <c r="K320" s="2">
        <f t="shared" si="8"/>
        <v>67275</v>
      </c>
      <c r="L320" s="2">
        <v>65000</v>
      </c>
      <c r="M320" s="3">
        <f t="shared" si="9"/>
        <v>3.499999999999992E-2</v>
      </c>
    </row>
    <row r="321" spans="1:13" x14ac:dyDescent="0.25">
      <c r="A321" t="s">
        <v>932</v>
      </c>
      <c r="B321" t="s">
        <v>99</v>
      </c>
      <c r="C321" t="s">
        <v>41</v>
      </c>
      <c r="D321" t="s">
        <v>13</v>
      </c>
      <c r="E321" t="s">
        <v>14</v>
      </c>
      <c r="F321" s="1">
        <v>43913</v>
      </c>
      <c r="G321" t="s">
        <v>41</v>
      </c>
      <c r="H321">
        <v>3716.7502049999998</v>
      </c>
      <c r="I321">
        <v>115</v>
      </c>
      <c r="J321">
        <v>0</v>
      </c>
      <c r="K321" s="2">
        <f t="shared" si="8"/>
        <v>67224.699359999999</v>
      </c>
      <c r="L321" s="2">
        <v>64951.700319999996</v>
      </c>
      <c r="M321" s="3">
        <f t="shared" si="9"/>
        <v>3.4995219968092073E-2</v>
      </c>
    </row>
    <row r="322" spans="1:13" x14ac:dyDescent="0.25">
      <c r="A322" t="s">
        <v>21</v>
      </c>
      <c r="B322" t="s">
        <v>22</v>
      </c>
      <c r="C322" t="s">
        <v>23</v>
      </c>
      <c r="D322" t="s">
        <v>13</v>
      </c>
      <c r="E322" t="s">
        <v>14</v>
      </c>
      <c r="F322" s="1">
        <v>40980</v>
      </c>
      <c r="G322" t="s">
        <v>23</v>
      </c>
      <c r="H322">
        <v>4635</v>
      </c>
      <c r="I322">
        <v>144</v>
      </c>
      <c r="J322">
        <v>0</v>
      </c>
      <c r="K322" s="2">
        <f t="shared" ref="K322:K385" si="10">(2080/I322)*H322</f>
        <v>66950</v>
      </c>
      <c r="L322" s="2">
        <v>65000</v>
      </c>
      <c r="M322" s="3">
        <f t="shared" si="9"/>
        <v>3.0000000000000027E-2</v>
      </c>
    </row>
    <row r="323" spans="1:13" x14ac:dyDescent="0.25">
      <c r="A323" t="s">
        <v>98</v>
      </c>
      <c r="B323" t="s">
        <v>99</v>
      </c>
      <c r="C323" t="s">
        <v>100</v>
      </c>
      <c r="D323" t="s">
        <v>13</v>
      </c>
      <c r="E323" t="s">
        <v>14</v>
      </c>
      <c r="F323" s="1">
        <v>44410</v>
      </c>
      <c r="G323" t="s">
        <v>100</v>
      </c>
      <c r="H323">
        <v>3411.7526800000001</v>
      </c>
      <c r="I323">
        <v>106</v>
      </c>
      <c r="J323">
        <v>0</v>
      </c>
      <c r="K323" s="2">
        <f t="shared" si="10"/>
        <v>66947.599758490571</v>
      </c>
      <c r="L323" s="2">
        <v>64997.599751439899</v>
      </c>
      <c r="M323" s="3">
        <f t="shared" ref="M323:M386" si="11">IFERROR((K323/L323)-1,0)</f>
        <v>3.0001107956413087E-2</v>
      </c>
    </row>
    <row r="324" spans="1:13" x14ac:dyDescent="0.25">
      <c r="A324" t="s">
        <v>326</v>
      </c>
      <c r="B324" t="s">
        <v>327</v>
      </c>
      <c r="C324" t="s">
        <v>328</v>
      </c>
      <c r="D324" t="s">
        <v>13</v>
      </c>
      <c r="E324" t="s">
        <v>14</v>
      </c>
      <c r="F324" s="1">
        <v>44207</v>
      </c>
      <c r="G324" t="s">
        <v>328</v>
      </c>
      <c r="H324">
        <v>4150.2174999999997</v>
      </c>
      <c r="I324">
        <v>129.25</v>
      </c>
      <c r="J324">
        <v>0</v>
      </c>
      <c r="K324" s="2">
        <f t="shared" si="10"/>
        <v>66788.800000000003</v>
      </c>
      <c r="L324" s="2">
        <v>66788.799999999988</v>
      </c>
      <c r="M324" s="3">
        <f t="shared" si="11"/>
        <v>2.2204460492503131E-16</v>
      </c>
    </row>
    <row r="325" spans="1:13" x14ac:dyDescent="0.25">
      <c r="A325" t="s">
        <v>801</v>
      </c>
      <c r="B325" t="s">
        <v>327</v>
      </c>
      <c r="C325" t="s">
        <v>328</v>
      </c>
      <c r="D325" t="s">
        <v>13</v>
      </c>
      <c r="E325" t="s">
        <v>14</v>
      </c>
      <c r="F325" s="1">
        <v>45229</v>
      </c>
      <c r="G325" t="s">
        <v>328</v>
      </c>
      <c r="H325">
        <v>4880.72</v>
      </c>
      <c r="I325">
        <v>152</v>
      </c>
      <c r="J325">
        <v>0</v>
      </c>
      <c r="K325" s="2">
        <f t="shared" si="10"/>
        <v>66788.800000000003</v>
      </c>
      <c r="L325" s="2">
        <v>66788.800000000003</v>
      </c>
      <c r="M325" s="3">
        <f t="shared" si="11"/>
        <v>0</v>
      </c>
    </row>
    <row r="326" spans="1:13" x14ac:dyDescent="0.25">
      <c r="A326" t="s">
        <v>378</v>
      </c>
      <c r="B326" t="s">
        <v>215</v>
      </c>
      <c r="C326" t="s">
        <v>41</v>
      </c>
      <c r="D326" t="s">
        <v>13</v>
      </c>
      <c r="E326" t="s">
        <v>14</v>
      </c>
      <c r="F326" s="1">
        <v>39209</v>
      </c>
      <c r="G326" t="s">
        <v>41</v>
      </c>
      <c r="H326">
        <v>4362.0169459999997</v>
      </c>
      <c r="I326">
        <v>136</v>
      </c>
      <c r="J326">
        <v>0</v>
      </c>
      <c r="K326" s="2">
        <f t="shared" si="10"/>
        <v>66713.200350588231</v>
      </c>
      <c r="L326" s="2">
        <v>64147.200000000114</v>
      </c>
      <c r="M326" s="3">
        <f t="shared" si="11"/>
        <v>4.0001751449605161E-2</v>
      </c>
    </row>
    <row r="327" spans="1:13" x14ac:dyDescent="0.25">
      <c r="A327" t="s">
        <v>621</v>
      </c>
      <c r="B327" t="s">
        <v>78</v>
      </c>
      <c r="C327" t="s">
        <v>12</v>
      </c>
      <c r="D327" t="s">
        <v>13</v>
      </c>
      <c r="E327" t="s">
        <v>14</v>
      </c>
      <c r="F327" s="1">
        <v>33378</v>
      </c>
      <c r="G327" t="s">
        <v>12</v>
      </c>
      <c r="H327">
        <v>4864</v>
      </c>
      <c r="I327">
        <v>152</v>
      </c>
      <c r="J327">
        <v>0</v>
      </c>
      <c r="K327" s="2">
        <f t="shared" si="10"/>
        <v>66560</v>
      </c>
      <c r="L327" s="2">
        <v>66560</v>
      </c>
      <c r="M327" s="3">
        <f t="shared" si="11"/>
        <v>0</v>
      </c>
    </row>
    <row r="328" spans="1:13" x14ac:dyDescent="0.25">
      <c r="A328" t="s">
        <v>134</v>
      </c>
      <c r="B328" t="s">
        <v>135</v>
      </c>
      <c r="C328" t="s">
        <v>106</v>
      </c>
      <c r="D328" t="s">
        <v>13</v>
      </c>
      <c r="E328" t="s">
        <v>14</v>
      </c>
      <c r="F328" s="1">
        <v>44399</v>
      </c>
      <c r="G328" t="s">
        <v>106</v>
      </c>
      <c r="H328">
        <v>4797.2884530000001</v>
      </c>
      <c r="I328">
        <v>150</v>
      </c>
      <c r="J328">
        <v>0</v>
      </c>
      <c r="K328" s="2">
        <f t="shared" si="10"/>
        <v>66522.399881600009</v>
      </c>
      <c r="L328" s="2">
        <v>64584.399359999996</v>
      </c>
      <c r="M328" s="3">
        <f t="shared" si="11"/>
        <v>3.0007254705542774E-2</v>
      </c>
    </row>
    <row r="329" spans="1:13" x14ac:dyDescent="0.25">
      <c r="A329" t="s">
        <v>685</v>
      </c>
      <c r="B329" t="s">
        <v>215</v>
      </c>
      <c r="C329" t="s">
        <v>41</v>
      </c>
      <c r="D329" t="s">
        <v>13</v>
      </c>
      <c r="E329" t="s">
        <v>14</v>
      </c>
      <c r="F329" s="1">
        <v>38621</v>
      </c>
      <c r="G329" t="s">
        <v>41</v>
      </c>
      <c r="H329">
        <v>4576.9105449999997</v>
      </c>
      <c r="I329">
        <v>143.86666666666599</v>
      </c>
      <c r="J329">
        <v>0</v>
      </c>
      <c r="K329" s="2">
        <f t="shared" si="10"/>
        <v>66172.20065060271</v>
      </c>
      <c r="L329" s="2">
        <v>63627.19999999999</v>
      </c>
      <c r="M329" s="3">
        <f t="shared" si="11"/>
        <v>3.9998627168926548E-2</v>
      </c>
    </row>
    <row r="330" spans="1:13" x14ac:dyDescent="0.25">
      <c r="A330" t="s">
        <v>522</v>
      </c>
      <c r="B330" t="s">
        <v>218</v>
      </c>
      <c r="C330" t="s">
        <v>17</v>
      </c>
      <c r="D330" t="s">
        <v>13</v>
      </c>
      <c r="E330" t="s">
        <v>14</v>
      </c>
      <c r="F330" s="1">
        <v>44501</v>
      </c>
      <c r="G330" t="s">
        <v>17</v>
      </c>
      <c r="H330">
        <v>4834.2203129999998</v>
      </c>
      <c r="I330">
        <v>152</v>
      </c>
      <c r="J330">
        <v>0</v>
      </c>
      <c r="K330" s="2">
        <f t="shared" si="10"/>
        <v>66152.488493684214</v>
      </c>
      <c r="L330" s="2">
        <v>63915.487999999998</v>
      </c>
      <c r="M330" s="3">
        <f t="shared" si="11"/>
        <v>3.4999349354638776E-2</v>
      </c>
    </row>
    <row r="331" spans="1:13" x14ac:dyDescent="0.25">
      <c r="A331" t="s">
        <v>860</v>
      </c>
      <c r="B331" t="s">
        <v>260</v>
      </c>
      <c r="C331" t="s">
        <v>36</v>
      </c>
      <c r="D331" t="s">
        <v>13</v>
      </c>
      <c r="E331" t="s">
        <v>14</v>
      </c>
      <c r="F331" s="1">
        <v>44235</v>
      </c>
      <c r="G331" t="s">
        <v>36</v>
      </c>
      <c r="H331">
        <v>4833.7946089999996</v>
      </c>
      <c r="I331">
        <v>152</v>
      </c>
      <c r="J331">
        <v>0</v>
      </c>
      <c r="K331" s="2">
        <f t="shared" si="10"/>
        <v>66146.663070526309</v>
      </c>
      <c r="L331" s="2">
        <v>57366.400000000001</v>
      </c>
      <c r="M331" s="3">
        <f t="shared" si="11"/>
        <v>0.15305584925193672</v>
      </c>
    </row>
    <row r="332" spans="1:13" x14ac:dyDescent="0.25">
      <c r="A332" t="s">
        <v>357</v>
      </c>
      <c r="B332" t="s">
        <v>358</v>
      </c>
      <c r="C332" t="s">
        <v>57</v>
      </c>
      <c r="D332" t="s">
        <v>13</v>
      </c>
      <c r="E332" t="s">
        <v>14</v>
      </c>
      <c r="F332" s="1">
        <v>43269</v>
      </c>
      <c r="G332" t="s">
        <v>57</v>
      </c>
      <c r="H332">
        <v>4573.6338239999995</v>
      </c>
      <c r="I332">
        <v>144</v>
      </c>
      <c r="J332">
        <v>0</v>
      </c>
      <c r="K332" s="2">
        <f t="shared" si="10"/>
        <v>66063.599679999999</v>
      </c>
      <c r="L332" s="2">
        <v>63984.600160000009</v>
      </c>
      <c r="M332" s="3">
        <f t="shared" si="11"/>
        <v>3.2492185850989674E-2</v>
      </c>
    </row>
    <row r="333" spans="1:13" x14ac:dyDescent="0.25">
      <c r="A333" t="s">
        <v>997</v>
      </c>
      <c r="B333" t="s">
        <v>967</v>
      </c>
      <c r="C333" t="s">
        <v>998</v>
      </c>
      <c r="D333" t="s">
        <v>13</v>
      </c>
      <c r="E333" t="s">
        <v>14</v>
      </c>
      <c r="F333" s="1">
        <v>44705</v>
      </c>
      <c r="G333" t="s">
        <v>998</v>
      </c>
      <c r="H333">
        <v>4821.761485</v>
      </c>
      <c r="I333">
        <v>152</v>
      </c>
      <c r="J333">
        <v>0</v>
      </c>
      <c r="K333" s="2">
        <f t="shared" si="10"/>
        <v>65981.999268421059</v>
      </c>
      <c r="L333" s="2">
        <v>64688</v>
      </c>
      <c r="M333" s="3">
        <f t="shared" si="11"/>
        <v>2.0003698806904779E-2</v>
      </c>
    </row>
    <row r="334" spans="1:13" x14ac:dyDescent="0.25">
      <c r="A334" t="s">
        <v>810</v>
      </c>
      <c r="B334" t="s">
        <v>33</v>
      </c>
      <c r="C334" t="s">
        <v>31</v>
      </c>
      <c r="D334" t="s">
        <v>13</v>
      </c>
      <c r="E334" t="s">
        <v>14</v>
      </c>
      <c r="F334" s="1">
        <v>44376</v>
      </c>
      <c r="G334" t="s">
        <v>31</v>
      </c>
      <c r="H334">
        <v>3907.460869</v>
      </c>
      <c r="I334">
        <v>124.666666666666</v>
      </c>
      <c r="J334">
        <v>0</v>
      </c>
      <c r="K334" s="2">
        <f t="shared" si="10"/>
        <v>65193.999525561841</v>
      </c>
      <c r="L334" s="2">
        <v>63294.999027621328</v>
      </c>
      <c r="M334" s="3">
        <f t="shared" si="11"/>
        <v>3.0002378183334955E-2</v>
      </c>
    </row>
    <row r="335" spans="1:13" x14ac:dyDescent="0.25">
      <c r="A335" t="s">
        <v>466</v>
      </c>
      <c r="B335" t="s">
        <v>467</v>
      </c>
      <c r="C335" t="s">
        <v>352</v>
      </c>
      <c r="D335" t="s">
        <v>13</v>
      </c>
      <c r="E335" t="s">
        <v>14</v>
      </c>
      <c r="F335" s="1">
        <v>43486</v>
      </c>
      <c r="G335" t="s">
        <v>352</v>
      </c>
      <c r="H335">
        <v>4004.701568</v>
      </c>
      <c r="I335">
        <v>128</v>
      </c>
      <c r="J335">
        <v>0</v>
      </c>
      <c r="K335" s="2">
        <f t="shared" si="10"/>
        <v>65076.400479999997</v>
      </c>
      <c r="L335" s="2">
        <v>63181.399842829931</v>
      </c>
      <c r="M335" s="3">
        <f t="shared" si="11"/>
        <v>2.9993014429627651E-2</v>
      </c>
    </row>
    <row r="336" spans="1:13" x14ac:dyDescent="0.25">
      <c r="A336" t="s">
        <v>638</v>
      </c>
      <c r="B336" t="s">
        <v>168</v>
      </c>
      <c r="C336" t="s">
        <v>169</v>
      </c>
      <c r="D336" t="s">
        <v>13</v>
      </c>
      <c r="E336" t="s">
        <v>14</v>
      </c>
      <c r="F336" s="1">
        <v>38831</v>
      </c>
      <c r="G336" t="s">
        <v>169</v>
      </c>
      <c r="H336">
        <v>4254.579804</v>
      </c>
      <c r="I336">
        <v>136</v>
      </c>
      <c r="J336">
        <v>0</v>
      </c>
      <c r="K336" s="2">
        <f t="shared" si="10"/>
        <v>65070.044061176472</v>
      </c>
      <c r="L336" s="2">
        <v>63174.8</v>
      </c>
      <c r="M336" s="3">
        <f t="shared" si="11"/>
        <v>3.0000000968368301E-2</v>
      </c>
    </row>
    <row r="337" spans="1:13" x14ac:dyDescent="0.25">
      <c r="A337" t="s">
        <v>896</v>
      </c>
      <c r="B337" t="s">
        <v>70</v>
      </c>
      <c r="C337" t="s">
        <v>23</v>
      </c>
      <c r="D337" t="s">
        <v>13</v>
      </c>
      <c r="E337" t="s">
        <v>14</v>
      </c>
      <c r="F337" s="1">
        <v>39090</v>
      </c>
      <c r="G337" t="s">
        <v>23</v>
      </c>
      <c r="H337">
        <v>4742.7888169999997</v>
      </c>
      <c r="I337">
        <v>152</v>
      </c>
      <c r="J337">
        <v>0</v>
      </c>
      <c r="K337" s="2">
        <f t="shared" si="10"/>
        <v>64901.320653684204</v>
      </c>
      <c r="L337" s="2">
        <v>62616.32</v>
      </c>
      <c r="M337" s="3">
        <f t="shared" si="11"/>
        <v>3.6492094292417843E-2</v>
      </c>
    </row>
    <row r="338" spans="1:13" x14ac:dyDescent="0.25">
      <c r="A338" t="s">
        <v>219</v>
      </c>
      <c r="B338" t="s">
        <v>220</v>
      </c>
      <c r="C338" t="s">
        <v>221</v>
      </c>
      <c r="D338" t="s">
        <v>13</v>
      </c>
      <c r="E338" t="s">
        <v>14</v>
      </c>
      <c r="F338" s="1">
        <v>45291</v>
      </c>
      <c r="G338" t="s">
        <v>221</v>
      </c>
      <c r="H338">
        <v>4482</v>
      </c>
      <c r="I338">
        <v>144</v>
      </c>
      <c r="J338">
        <v>0</v>
      </c>
      <c r="K338" s="2">
        <f t="shared" si="10"/>
        <v>64740</v>
      </c>
      <c r="L338" s="2">
        <v>62400</v>
      </c>
      <c r="M338" s="3">
        <f t="shared" si="11"/>
        <v>3.7500000000000089E-2</v>
      </c>
    </row>
    <row r="339" spans="1:13" x14ac:dyDescent="0.25">
      <c r="A339" t="s">
        <v>1027</v>
      </c>
      <c r="B339" t="s">
        <v>358</v>
      </c>
      <c r="C339" t="s">
        <v>29</v>
      </c>
      <c r="D339" t="s">
        <v>13</v>
      </c>
      <c r="E339" t="s">
        <v>14</v>
      </c>
      <c r="F339" s="1">
        <v>45229</v>
      </c>
      <c r="G339" t="s">
        <v>29</v>
      </c>
      <c r="H339">
        <v>4470.9923520000002</v>
      </c>
      <c r="I339">
        <v>144</v>
      </c>
      <c r="J339">
        <v>0</v>
      </c>
      <c r="K339" s="2">
        <f t="shared" si="10"/>
        <v>64581.000640000006</v>
      </c>
      <c r="L339" s="2">
        <v>62700.000479999995</v>
      </c>
      <c r="M339" s="3">
        <f t="shared" si="11"/>
        <v>3.000000232216915E-2</v>
      </c>
    </row>
    <row r="340" spans="1:13" x14ac:dyDescent="0.25">
      <c r="A340" t="s">
        <v>629</v>
      </c>
      <c r="B340" t="s">
        <v>424</v>
      </c>
      <c r="C340" t="s">
        <v>17</v>
      </c>
      <c r="D340" t="s">
        <v>13</v>
      </c>
      <c r="E340" t="s">
        <v>14</v>
      </c>
      <c r="F340" s="1">
        <v>43243</v>
      </c>
      <c r="G340" t="s">
        <v>17</v>
      </c>
      <c r="H340">
        <v>3440.8932180000002</v>
      </c>
      <c r="I340">
        <v>111</v>
      </c>
      <c r="J340">
        <v>0</v>
      </c>
      <c r="K340" s="2">
        <f t="shared" si="10"/>
        <v>64477.999040000002</v>
      </c>
      <c r="L340" s="2">
        <v>62472.999680000001</v>
      </c>
      <c r="M340" s="3">
        <f t="shared" si="11"/>
        <v>3.2093854469451344E-2</v>
      </c>
    </row>
    <row r="341" spans="1:13" x14ac:dyDescent="0.25">
      <c r="A341" t="s">
        <v>585</v>
      </c>
      <c r="B341" t="s">
        <v>240</v>
      </c>
      <c r="C341" t="s">
        <v>17</v>
      </c>
      <c r="D341" t="s">
        <v>13</v>
      </c>
      <c r="E341" t="s">
        <v>14</v>
      </c>
      <c r="F341" s="1">
        <v>40308</v>
      </c>
      <c r="G341" t="s">
        <v>17</v>
      </c>
      <c r="H341">
        <v>4411.9167950000001</v>
      </c>
      <c r="I341">
        <v>143</v>
      </c>
      <c r="J341">
        <v>0</v>
      </c>
      <c r="K341" s="2">
        <f t="shared" si="10"/>
        <v>64173.335200000001</v>
      </c>
      <c r="L341" s="2">
        <v>62003.335680000004</v>
      </c>
      <c r="M341" s="3">
        <f t="shared" si="11"/>
        <v>3.4998109314624548E-2</v>
      </c>
    </row>
    <row r="342" spans="1:13" x14ac:dyDescent="0.25">
      <c r="A342" t="s">
        <v>813</v>
      </c>
      <c r="B342" t="s">
        <v>137</v>
      </c>
      <c r="C342" t="s">
        <v>17</v>
      </c>
      <c r="D342" t="s">
        <v>13</v>
      </c>
      <c r="E342" t="s">
        <v>14</v>
      </c>
      <c r="F342" s="1">
        <v>45194</v>
      </c>
      <c r="G342" t="s">
        <v>17</v>
      </c>
      <c r="H342">
        <v>4442.4675379999999</v>
      </c>
      <c r="I342">
        <v>144</v>
      </c>
      <c r="J342">
        <v>0</v>
      </c>
      <c r="K342" s="2">
        <f t="shared" si="10"/>
        <v>64168.975548888891</v>
      </c>
      <c r="L342" s="2">
        <v>61998.976000000002</v>
      </c>
      <c r="M342" s="3">
        <f t="shared" si="11"/>
        <v>3.5000570797957931E-2</v>
      </c>
    </row>
    <row r="343" spans="1:13" x14ac:dyDescent="0.25">
      <c r="A343" t="s">
        <v>699</v>
      </c>
      <c r="B343" t="s">
        <v>70</v>
      </c>
      <c r="C343" t="s">
        <v>31</v>
      </c>
      <c r="D343" t="s">
        <v>13</v>
      </c>
      <c r="E343" t="s">
        <v>14</v>
      </c>
      <c r="F343" s="1">
        <v>32118</v>
      </c>
      <c r="G343" t="s">
        <v>31</v>
      </c>
      <c r="H343">
        <v>983.69574399999999</v>
      </c>
      <c r="I343">
        <v>32</v>
      </c>
      <c r="J343">
        <v>0</v>
      </c>
      <c r="K343" s="2">
        <f t="shared" si="10"/>
        <v>63940.223359999996</v>
      </c>
      <c r="L343" s="2">
        <v>62078.224000000002</v>
      </c>
      <c r="M343" s="3">
        <f t="shared" si="11"/>
        <v>2.9994404479097181E-2</v>
      </c>
    </row>
    <row r="344" spans="1:13" x14ac:dyDescent="0.25">
      <c r="A344" t="s">
        <v>45</v>
      </c>
      <c r="B344" t="s">
        <v>46</v>
      </c>
      <c r="C344" t="s">
        <v>47</v>
      </c>
      <c r="D344" t="s">
        <v>13</v>
      </c>
      <c r="E344" t="s">
        <v>14</v>
      </c>
      <c r="F344" s="1">
        <v>43096</v>
      </c>
      <c r="G344" t="s">
        <v>47</v>
      </c>
      <c r="H344">
        <v>4424.12309</v>
      </c>
      <c r="I344">
        <v>144</v>
      </c>
      <c r="J344">
        <v>0</v>
      </c>
      <c r="K344" s="2">
        <f t="shared" si="10"/>
        <v>63904.000188888887</v>
      </c>
      <c r="L344" s="2">
        <v>61152.000000000007</v>
      </c>
      <c r="M344" s="3">
        <f t="shared" si="11"/>
        <v>4.5002619520030152E-2</v>
      </c>
    </row>
    <row r="345" spans="1:13" x14ac:dyDescent="0.25">
      <c r="A345" t="s">
        <v>136</v>
      </c>
      <c r="B345" t="s">
        <v>137</v>
      </c>
      <c r="C345" t="s">
        <v>17</v>
      </c>
      <c r="D345" t="s">
        <v>13</v>
      </c>
      <c r="E345" t="s">
        <v>14</v>
      </c>
      <c r="F345" s="1">
        <v>44417</v>
      </c>
      <c r="G345" t="s">
        <v>17</v>
      </c>
      <c r="H345">
        <v>4419.660672</v>
      </c>
      <c r="I345">
        <v>144</v>
      </c>
      <c r="J345">
        <v>0</v>
      </c>
      <c r="K345" s="2">
        <f t="shared" si="10"/>
        <v>63839.543040000004</v>
      </c>
      <c r="L345" s="2">
        <v>61800.543999999994</v>
      </c>
      <c r="M345" s="3">
        <f t="shared" si="11"/>
        <v>3.2993221548341278E-2</v>
      </c>
    </row>
    <row r="346" spans="1:13" x14ac:dyDescent="0.25">
      <c r="A346" t="s">
        <v>39</v>
      </c>
      <c r="B346" t="s">
        <v>40</v>
      </c>
      <c r="C346" t="s">
        <v>41</v>
      </c>
      <c r="D346" t="s">
        <v>13</v>
      </c>
      <c r="E346" t="s">
        <v>14</v>
      </c>
      <c r="F346" s="1">
        <v>37935</v>
      </c>
      <c r="G346" t="s">
        <v>41</v>
      </c>
      <c r="H346">
        <v>4625.4064770000005</v>
      </c>
      <c r="I346">
        <v>150.75</v>
      </c>
      <c r="J346">
        <v>0</v>
      </c>
      <c r="K346" s="2">
        <f t="shared" si="10"/>
        <v>63819.870462089559</v>
      </c>
      <c r="L346" s="2">
        <v>61676.869280000006</v>
      </c>
      <c r="M346" s="3">
        <f t="shared" si="11"/>
        <v>3.4745621934225923E-2</v>
      </c>
    </row>
    <row r="347" spans="1:13" x14ac:dyDescent="0.25">
      <c r="A347" t="s">
        <v>543</v>
      </c>
      <c r="B347" t="s">
        <v>33</v>
      </c>
      <c r="C347" t="s">
        <v>31</v>
      </c>
      <c r="D347" t="s">
        <v>13</v>
      </c>
      <c r="E347" t="s">
        <v>14</v>
      </c>
      <c r="F347" s="1">
        <v>38791</v>
      </c>
      <c r="G347" t="s">
        <v>31</v>
      </c>
      <c r="H347">
        <v>4595.3638030000002</v>
      </c>
      <c r="I347">
        <v>149.916666666666</v>
      </c>
      <c r="J347">
        <v>0</v>
      </c>
      <c r="K347" s="2">
        <f t="shared" si="10"/>
        <v>63757.799067749031</v>
      </c>
      <c r="L347" s="2">
        <v>61900.800000000279</v>
      </c>
      <c r="M347" s="3">
        <f t="shared" si="11"/>
        <v>2.9999597222471142E-2</v>
      </c>
    </row>
    <row r="348" spans="1:13" x14ac:dyDescent="0.25">
      <c r="A348" t="s">
        <v>239</v>
      </c>
      <c r="B348" t="s">
        <v>240</v>
      </c>
      <c r="C348" t="s">
        <v>17</v>
      </c>
      <c r="D348" t="s">
        <v>13</v>
      </c>
      <c r="E348" t="s">
        <v>14</v>
      </c>
      <c r="F348" s="1">
        <v>42212</v>
      </c>
      <c r="G348" t="s">
        <v>17</v>
      </c>
      <c r="H348">
        <v>3535.7692059999999</v>
      </c>
      <c r="I348">
        <v>116</v>
      </c>
      <c r="J348">
        <v>0</v>
      </c>
      <c r="K348" s="2">
        <f t="shared" si="10"/>
        <v>63399.999555862065</v>
      </c>
      <c r="L348" s="2">
        <v>58701.999236101467</v>
      </c>
      <c r="M348" s="3">
        <f t="shared" si="11"/>
        <v>8.0031351246915516E-2</v>
      </c>
    </row>
    <row r="349" spans="1:13" x14ac:dyDescent="0.25">
      <c r="A349" t="s">
        <v>282</v>
      </c>
      <c r="B349" t="s">
        <v>19</v>
      </c>
      <c r="C349" t="s">
        <v>31</v>
      </c>
      <c r="D349" t="s">
        <v>13</v>
      </c>
      <c r="E349" t="s">
        <v>14</v>
      </c>
      <c r="F349" s="1">
        <v>44270</v>
      </c>
      <c r="G349" t="s">
        <v>31</v>
      </c>
      <c r="H349">
        <v>4496.24</v>
      </c>
      <c r="I349">
        <v>148</v>
      </c>
      <c r="J349">
        <v>0</v>
      </c>
      <c r="K349" s="2">
        <f t="shared" si="10"/>
        <v>63190.400000000001</v>
      </c>
      <c r="L349" s="2">
        <v>63190.400000000001</v>
      </c>
      <c r="M349" s="3">
        <f t="shared" si="11"/>
        <v>0</v>
      </c>
    </row>
    <row r="350" spans="1:13" x14ac:dyDescent="0.25">
      <c r="A350" t="s">
        <v>937</v>
      </c>
      <c r="B350" t="s">
        <v>249</v>
      </c>
      <c r="C350" t="s">
        <v>162</v>
      </c>
      <c r="D350" t="s">
        <v>13</v>
      </c>
      <c r="E350" t="s">
        <v>14</v>
      </c>
      <c r="F350" s="1">
        <v>39696</v>
      </c>
      <c r="G350" t="s">
        <v>162</v>
      </c>
      <c r="H350">
        <v>4616.7295919999997</v>
      </c>
      <c r="I350">
        <v>152</v>
      </c>
      <c r="J350">
        <v>0</v>
      </c>
      <c r="K350" s="2">
        <f t="shared" si="10"/>
        <v>63176.299679999996</v>
      </c>
      <c r="L350" s="2">
        <v>61336.300479999998</v>
      </c>
      <c r="M350" s="3">
        <f t="shared" si="11"/>
        <v>2.9998535705621387E-2</v>
      </c>
    </row>
    <row r="351" spans="1:13" x14ac:dyDescent="0.25">
      <c r="A351" t="s">
        <v>296</v>
      </c>
      <c r="B351" t="s">
        <v>19</v>
      </c>
      <c r="C351" t="s">
        <v>23</v>
      </c>
      <c r="D351" t="s">
        <v>13</v>
      </c>
      <c r="E351" t="s">
        <v>14</v>
      </c>
      <c r="F351" s="1">
        <v>44349</v>
      </c>
      <c r="G351" t="s">
        <v>23</v>
      </c>
      <c r="H351">
        <v>3521.76</v>
      </c>
      <c r="I351">
        <v>116</v>
      </c>
      <c r="J351">
        <v>0</v>
      </c>
      <c r="K351" s="2">
        <f t="shared" si="10"/>
        <v>63148.799999999996</v>
      </c>
      <c r="L351" s="2">
        <v>63148.80000000001</v>
      </c>
      <c r="M351" s="3">
        <f t="shared" si="11"/>
        <v>-2.2204460492503131E-16</v>
      </c>
    </row>
    <row r="352" spans="1:13" x14ac:dyDescent="0.25">
      <c r="A352" t="s">
        <v>1035</v>
      </c>
      <c r="B352" t="s">
        <v>56</v>
      </c>
      <c r="C352" t="s">
        <v>57</v>
      </c>
      <c r="D352" t="s">
        <v>13</v>
      </c>
      <c r="E352" t="s">
        <v>14</v>
      </c>
      <c r="F352" s="1">
        <v>45594</v>
      </c>
      <c r="G352" t="s">
        <v>57</v>
      </c>
      <c r="H352">
        <v>4785.5769959999998</v>
      </c>
      <c r="I352">
        <v>158</v>
      </c>
      <c r="J352">
        <v>0</v>
      </c>
      <c r="K352" s="2">
        <f t="shared" si="10"/>
        <v>63000.000960000005</v>
      </c>
      <c r="L352" s="2">
        <v>63000.000960000005</v>
      </c>
      <c r="M352" s="3">
        <f t="shared" si="11"/>
        <v>0</v>
      </c>
    </row>
    <row r="353" spans="1:13" x14ac:dyDescent="0.25">
      <c r="A353" t="s">
        <v>446</v>
      </c>
      <c r="B353" t="s">
        <v>447</v>
      </c>
      <c r="C353" t="s">
        <v>44</v>
      </c>
      <c r="D353" t="s">
        <v>13</v>
      </c>
      <c r="E353" t="s">
        <v>14</v>
      </c>
      <c r="F353" s="1">
        <v>44810</v>
      </c>
      <c r="G353" t="s">
        <v>44</v>
      </c>
      <c r="H353">
        <v>4108.5338879999999</v>
      </c>
      <c r="I353">
        <v>136</v>
      </c>
      <c r="J353">
        <v>0</v>
      </c>
      <c r="K353" s="2">
        <f t="shared" si="10"/>
        <v>62836.40064</v>
      </c>
      <c r="L353" s="2">
        <v>61006.399999999994</v>
      </c>
      <c r="M353" s="3">
        <f t="shared" si="11"/>
        <v>2.9996863279918351E-2</v>
      </c>
    </row>
    <row r="354" spans="1:13" x14ac:dyDescent="0.25">
      <c r="A354" t="s">
        <v>528</v>
      </c>
      <c r="B354" t="s">
        <v>494</v>
      </c>
      <c r="C354" t="s">
        <v>47</v>
      </c>
      <c r="D354" t="s">
        <v>13</v>
      </c>
      <c r="E354" t="s">
        <v>14</v>
      </c>
      <c r="F354" s="1">
        <v>37480</v>
      </c>
      <c r="G354" t="s">
        <v>47</v>
      </c>
      <c r="H354">
        <v>4342.0160569999998</v>
      </c>
      <c r="I354">
        <v>144.5</v>
      </c>
      <c r="J354">
        <v>0</v>
      </c>
      <c r="K354" s="2">
        <f t="shared" si="10"/>
        <v>62500.992377577852</v>
      </c>
      <c r="L354" s="2">
        <v>60680.99241168044</v>
      </c>
      <c r="M354" s="3">
        <f t="shared" si="11"/>
        <v>2.9992916950828841E-2</v>
      </c>
    </row>
    <row r="355" spans="1:13" x14ac:dyDescent="0.25">
      <c r="A355" t="s">
        <v>833</v>
      </c>
      <c r="B355" t="s">
        <v>152</v>
      </c>
      <c r="C355" t="s">
        <v>153</v>
      </c>
      <c r="D355" t="s">
        <v>13</v>
      </c>
      <c r="E355" t="s">
        <v>14</v>
      </c>
      <c r="F355" s="1">
        <v>38544</v>
      </c>
      <c r="G355" t="s">
        <v>153</v>
      </c>
      <c r="H355">
        <v>4563.7268880000001</v>
      </c>
      <c r="I355">
        <v>152</v>
      </c>
      <c r="J355">
        <v>0</v>
      </c>
      <c r="K355" s="2">
        <f t="shared" si="10"/>
        <v>62450.999520000005</v>
      </c>
      <c r="L355" s="2">
        <v>58916</v>
      </c>
      <c r="M355" s="3">
        <f t="shared" si="11"/>
        <v>6.0000670785525179E-2</v>
      </c>
    </row>
    <row r="356" spans="1:13" x14ac:dyDescent="0.25">
      <c r="A356" t="s">
        <v>402</v>
      </c>
      <c r="B356" t="s">
        <v>403</v>
      </c>
      <c r="C356" t="s">
        <v>404</v>
      </c>
      <c r="D356" t="s">
        <v>13</v>
      </c>
      <c r="E356" t="s">
        <v>14</v>
      </c>
      <c r="F356" s="1">
        <v>36732</v>
      </c>
      <c r="G356" t="s">
        <v>404</v>
      </c>
      <c r="H356">
        <v>4563.04</v>
      </c>
      <c r="I356">
        <v>152</v>
      </c>
      <c r="J356">
        <v>0</v>
      </c>
      <c r="K356" s="2">
        <f t="shared" si="10"/>
        <v>62441.599999999999</v>
      </c>
      <c r="L356" s="2">
        <v>62441.600000000006</v>
      </c>
      <c r="M356" s="3">
        <f t="shared" si="11"/>
        <v>-1.1102230246251565E-16</v>
      </c>
    </row>
    <row r="357" spans="1:13" x14ac:dyDescent="0.25">
      <c r="A357" t="s">
        <v>613</v>
      </c>
      <c r="B357" t="s">
        <v>19</v>
      </c>
      <c r="C357" t="s">
        <v>20</v>
      </c>
      <c r="D357" t="s">
        <v>13</v>
      </c>
      <c r="E357" t="s">
        <v>14</v>
      </c>
      <c r="F357" s="1">
        <v>35884</v>
      </c>
      <c r="G357" t="s">
        <v>20</v>
      </c>
      <c r="H357">
        <v>3602.4</v>
      </c>
      <c r="I357">
        <v>120</v>
      </c>
      <c r="J357">
        <v>0</v>
      </c>
      <c r="K357" s="2">
        <f t="shared" si="10"/>
        <v>62441.599999999999</v>
      </c>
      <c r="L357" s="2">
        <v>62441.599999999999</v>
      </c>
      <c r="M357" s="3">
        <f t="shared" si="11"/>
        <v>0</v>
      </c>
    </row>
    <row r="358" spans="1:13" x14ac:dyDescent="0.25">
      <c r="A358" t="s">
        <v>909</v>
      </c>
      <c r="B358" t="s">
        <v>403</v>
      </c>
      <c r="C358" t="s">
        <v>404</v>
      </c>
      <c r="D358" t="s">
        <v>13</v>
      </c>
      <c r="E358" t="s">
        <v>14</v>
      </c>
      <c r="F358" s="1">
        <v>34920</v>
      </c>
      <c r="G358" t="s">
        <v>404</v>
      </c>
      <c r="H358">
        <v>2746.83</v>
      </c>
      <c r="I358">
        <v>91.5</v>
      </c>
      <c r="J358">
        <v>0</v>
      </c>
      <c r="K358" s="2">
        <f t="shared" si="10"/>
        <v>62441.599999999999</v>
      </c>
      <c r="L358" s="2">
        <v>62441.599999999999</v>
      </c>
      <c r="M358" s="3">
        <f t="shared" si="11"/>
        <v>0</v>
      </c>
    </row>
    <row r="359" spans="1:13" x14ac:dyDescent="0.25">
      <c r="A359" t="s">
        <v>606</v>
      </c>
      <c r="B359" t="s">
        <v>94</v>
      </c>
      <c r="C359" t="s">
        <v>95</v>
      </c>
      <c r="D359" t="s">
        <v>13</v>
      </c>
      <c r="E359" t="s">
        <v>14</v>
      </c>
      <c r="F359" s="1">
        <v>45817</v>
      </c>
      <c r="G359" t="s">
        <v>95</v>
      </c>
      <c r="H359">
        <v>4430</v>
      </c>
      <c r="I359">
        <v>147.666666666666</v>
      </c>
      <c r="J359">
        <v>0</v>
      </c>
      <c r="K359" s="2">
        <f t="shared" si="10"/>
        <v>62400.000000000284</v>
      </c>
      <c r="L359" s="2">
        <v>62399.999999999993</v>
      </c>
      <c r="M359" s="3">
        <f t="shared" si="11"/>
        <v>4.6629367034256575E-15</v>
      </c>
    </row>
    <row r="360" spans="1:13" x14ac:dyDescent="0.25">
      <c r="A360" t="s">
        <v>766</v>
      </c>
      <c r="B360" t="s">
        <v>78</v>
      </c>
      <c r="C360" t="s">
        <v>12</v>
      </c>
      <c r="D360" t="s">
        <v>13</v>
      </c>
      <c r="E360" t="s">
        <v>14</v>
      </c>
      <c r="F360" s="1">
        <v>38162</v>
      </c>
      <c r="G360" t="s">
        <v>12</v>
      </c>
      <c r="H360">
        <v>4560</v>
      </c>
      <c r="I360">
        <v>152</v>
      </c>
      <c r="J360">
        <v>0</v>
      </c>
      <c r="K360" s="2">
        <f t="shared" si="10"/>
        <v>62400</v>
      </c>
      <c r="L360" s="2">
        <v>62400</v>
      </c>
      <c r="M360" s="3">
        <f t="shared" si="11"/>
        <v>0</v>
      </c>
    </row>
    <row r="361" spans="1:13" x14ac:dyDescent="0.25">
      <c r="A361" t="s">
        <v>300</v>
      </c>
      <c r="B361" t="s">
        <v>67</v>
      </c>
      <c r="C361" t="s">
        <v>301</v>
      </c>
      <c r="D361" t="s">
        <v>13</v>
      </c>
      <c r="E361" t="s">
        <v>14</v>
      </c>
      <c r="F361" s="1">
        <v>45110</v>
      </c>
      <c r="G361" t="s">
        <v>301</v>
      </c>
      <c r="H361">
        <v>4208.1720720000003</v>
      </c>
      <c r="I361">
        <v>141</v>
      </c>
      <c r="J361">
        <v>0</v>
      </c>
      <c r="K361" s="2">
        <f t="shared" si="10"/>
        <v>62077.999360000002</v>
      </c>
      <c r="L361" s="2">
        <v>60860.999680000001</v>
      </c>
      <c r="M361" s="3">
        <f t="shared" si="11"/>
        <v>1.9996380052888396E-2</v>
      </c>
    </row>
    <row r="362" spans="1:13" x14ac:dyDescent="0.25">
      <c r="A362" t="s">
        <v>496</v>
      </c>
      <c r="B362" t="s">
        <v>424</v>
      </c>
      <c r="C362" t="s">
        <v>17</v>
      </c>
      <c r="D362" t="s">
        <v>13</v>
      </c>
      <c r="E362" t="s">
        <v>14</v>
      </c>
      <c r="F362" s="1">
        <v>44432</v>
      </c>
      <c r="G362" t="s">
        <v>17</v>
      </c>
      <c r="H362">
        <v>4534.5545920000004</v>
      </c>
      <c r="I362">
        <v>152</v>
      </c>
      <c r="J362">
        <v>0</v>
      </c>
      <c r="K362" s="2">
        <f t="shared" si="10"/>
        <v>62051.799680000004</v>
      </c>
      <c r="L362" s="2">
        <v>60834.799999999996</v>
      </c>
      <c r="M362" s="3">
        <f t="shared" si="11"/>
        <v>2.0004991879647882E-2</v>
      </c>
    </row>
    <row r="363" spans="1:13" x14ac:dyDescent="0.25">
      <c r="A363" t="s">
        <v>906</v>
      </c>
      <c r="B363" t="s">
        <v>16</v>
      </c>
      <c r="C363" t="s">
        <v>17</v>
      </c>
      <c r="D363" t="s">
        <v>13</v>
      </c>
      <c r="E363" t="s">
        <v>14</v>
      </c>
      <c r="F363" s="1">
        <v>45293</v>
      </c>
      <c r="G363" t="s">
        <v>17</v>
      </c>
      <c r="H363">
        <v>4419.1674979999998</v>
      </c>
      <c r="I363">
        <v>148.46666666666599</v>
      </c>
      <c r="J363">
        <v>0</v>
      </c>
      <c r="K363" s="2">
        <f t="shared" si="10"/>
        <v>61912.000870049676</v>
      </c>
      <c r="L363" s="2">
        <v>60007.999990742319</v>
      </c>
      <c r="M363" s="3">
        <f t="shared" si="11"/>
        <v>3.1729117444359023E-2</v>
      </c>
    </row>
    <row r="364" spans="1:13" x14ac:dyDescent="0.25">
      <c r="A364" t="s">
        <v>197</v>
      </c>
      <c r="B364" t="s">
        <v>121</v>
      </c>
      <c r="C364" t="s">
        <v>31</v>
      </c>
      <c r="D364" t="s">
        <v>13</v>
      </c>
      <c r="E364" t="s">
        <v>14</v>
      </c>
      <c r="F364" s="1">
        <v>45152</v>
      </c>
      <c r="G364" t="s">
        <v>31</v>
      </c>
      <c r="H364">
        <v>2720.8028250000002</v>
      </c>
      <c r="I364">
        <v>91.5</v>
      </c>
      <c r="J364">
        <v>0</v>
      </c>
      <c r="K364" s="2">
        <f t="shared" si="10"/>
        <v>61849.944000000003</v>
      </c>
      <c r="L364" s="2">
        <v>61849.94400817289</v>
      </c>
      <c r="M364" s="3">
        <f t="shared" si="11"/>
        <v>-1.3214052074772553E-10</v>
      </c>
    </row>
    <row r="365" spans="1:13" x14ac:dyDescent="0.25">
      <c r="A365" t="s">
        <v>289</v>
      </c>
      <c r="B365" t="s">
        <v>290</v>
      </c>
      <c r="C365" t="s">
        <v>29</v>
      </c>
      <c r="D365" t="s">
        <v>13</v>
      </c>
      <c r="E365" t="s">
        <v>14</v>
      </c>
      <c r="F365" s="1">
        <v>45376</v>
      </c>
      <c r="G365" t="s">
        <v>29</v>
      </c>
      <c r="H365">
        <v>4040.7653599999999</v>
      </c>
      <c r="I365">
        <v>136</v>
      </c>
      <c r="J365">
        <v>0</v>
      </c>
      <c r="K365" s="2">
        <f t="shared" si="10"/>
        <v>61799.940800000004</v>
      </c>
      <c r="L365" s="2">
        <v>59999.888000000006</v>
      </c>
      <c r="M365" s="3">
        <f t="shared" si="11"/>
        <v>3.0000936001747247E-2</v>
      </c>
    </row>
    <row r="366" spans="1:13" x14ac:dyDescent="0.25">
      <c r="A366" t="s">
        <v>334</v>
      </c>
      <c r="B366" t="s">
        <v>335</v>
      </c>
      <c r="C366" t="s">
        <v>106</v>
      </c>
      <c r="D366" t="s">
        <v>13</v>
      </c>
      <c r="E366" t="s">
        <v>14</v>
      </c>
      <c r="F366" s="1">
        <v>44494</v>
      </c>
      <c r="G366" t="s">
        <v>106</v>
      </c>
      <c r="H366">
        <v>4019.6589130000002</v>
      </c>
      <c r="I366">
        <v>135.516666666666</v>
      </c>
      <c r="J366">
        <v>0</v>
      </c>
      <c r="K366" s="2">
        <f t="shared" si="10"/>
        <v>61696.400484860722</v>
      </c>
      <c r="L366" s="2">
        <v>60486.400000000009</v>
      </c>
      <c r="M366" s="3">
        <f t="shared" si="11"/>
        <v>2.0004504894665764E-2</v>
      </c>
    </row>
    <row r="367" spans="1:13" x14ac:dyDescent="0.25">
      <c r="A367" t="s">
        <v>702</v>
      </c>
      <c r="B367" t="s">
        <v>168</v>
      </c>
      <c r="C367" t="s">
        <v>23</v>
      </c>
      <c r="D367" t="s">
        <v>13</v>
      </c>
      <c r="E367" t="s">
        <v>14</v>
      </c>
      <c r="F367" s="1">
        <v>41757</v>
      </c>
      <c r="G367" t="s">
        <v>23</v>
      </c>
      <c r="H367">
        <v>4029.057812</v>
      </c>
      <c r="I367">
        <v>135.96666666666599</v>
      </c>
      <c r="J367">
        <v>0</v>
      </c>
      <c r="K367" s="2">
        <f t="shared" si="10"/>
        <v>61635.991044079739</v>
      </c>
      <c r="L367" s="2">
        <v>59840.799224761904</v>
      </c>
      <c r="M367" s="3">
        <f t="shared" si="11"/>
        <v>2.9999462617053219E-2</v>
      </c>
    </row>
    <row r="368" spans="1:13" x14ac:dyDescent="0.25">
      <c r="A368" t="s">
        <v>895</v>
      </c>
      <c r="B368" t="s">
        <v>22</v>
      </c>
      <c r="C368" t="s">
        <v>169</v>
      </c>
      <c r="D368" t="s">
        <v>13</v>
      </c>
      <c r="E368" t="s">
        <v>14</v>
      </c>
      <c r="F368" s="1">
        <v>40014</v>
      </c>
      <c r="G368" t="s">
        <v>169</v>
      </c>
      <c r="H368">
        <v>3306.4768800000002</v>
      </c>
      <c r="I368">
        <v>112</v>
      </c>
      <c r="J368">
        <v>0</v>
      </c>
      <c r="K368" s="2">
        <f t="shared" si="10"/>
        <v>61405.999200000006</v>
      </c>
      <c r="L368" s="2">
        <v>60320</v>
      </c>
      <c r="M368" s="3">
        <f t="shared" si="11"/>
        <v>1.8003965517241483E-2</v>
      </c>
    </row>
    <row r="369" spans="1:13" x14ac:dyDescent="0.25">
      <c r="A369" t="s">
        <v>652</v>
      </c>
      <c r="B369" t="s">
        <v>290</v>
      </c>
      <c r="C369" t="s">
        <v>63</v>
      </c>
      <c r="D369" t="s">
        <v>13</v>
      </c>
      <c r="E369" t="s">
        <v>14</v>
      </c>
      <c r="F369" s="1">
        <v>43430</v>
      </c>
      <c r="G369" t="s">
        <v>63</v>
      </c>
      <c r="H369">
        <v>4250.7581799999998</v>
      </c>
      <c r="I369">
        <v>144</v>
      </c>
      <c r="J369">
        <v>0</v>
      </c>
      <c r="K369" s="2">
        <f t="shared" si="10"/>
        <v>61399.840377777778</v>
      </c>
      <c r="L369" s="2">
        <v>58755.840000000004</v>
      </c>
      <c r="M369" s="3">
        <f t="shared" si="11"/>
        <v>4.4999788578935718E-2</v>
      </c>
    </row>
    <row r="370" spans="1:13" x14ac:dyDescent="0.25">
      <c r="A370" t="s">
        <v>429</v>
      </c>
      <c r="B370" t="s">
        <v>292</v>
      </c>
      <c r="C370" t="s">
        <v>430</v>
      </c>
      <c r="D370" t="s">
        <v>13</v>
      </c>
      <c r="E370" t="s">
        <v>14</v>
      </c>
      <c r="F370" s="1">
        <v>43080</v>
      </c>
      <c r="G370" t="s">
        <v>430</v>
      </c>
      <c r="H370">
        <v>4364.8359829999999</v>
      </c>
      <c r="I370">
        <v>148</v>
      </c>
      <c r="J370">
        <v>0</v>
      </c>
      <c r="K370" s="2">
        <f t="shared" si="10"/>
        <v>61343.64084216216</v>
      </c>
      <c r="L370" s="2">
        <v>59556.640000000007</v>
      </c>
      <c r="M370" s="3">
        <f t="shared" si="11"/>
        <v>3.0005064794826453E-2</v>
      </c>
    </row>
    <row r="371" spans="1:13" x14ac:dyDescent="0.25">
      <c r="A371" t="s">
        <v>37</v>
      </c>
      <c r="B371" t="s">
        <v>38</v>
      </c>
      <c r="C371" t="s">
        <v>36</v>
      </c>
      <c r="D371" t="s">
        <v>13</v>
      </c>
      <c r="E371" t="s">
        <v>14</v>
      </c>
      <c r="F371" s="1">
        <v>43780</v>
      </c>
      <c r="G371" t="s">
        <v>36</v>
      </c>
      <c r="H371">
        <v>3764.7541259999998</v>
      </c>
      <c r="I371">
        <v>128.25</v>
      </c>
      <c r="J371">
        <v>0</v>
      </c>
      <c r="K371" s="2">
        <f t="shared" si="10"/>
        <v>61058.000639999991</v>
      </c>
      <c r="L371" s="2">
        <v>60008</v>
      </c>
      <c r="M371" s="3">
        <f t="shared" si="11"/>
        <v>1.7497677642980713E-2</v>
      </c>
    </row>
    <row r="372" spans="1:13" x14ac:dyDescent="0.25">
      <c r="A372" t="s">
        <v>155</v>
      </c>
      <c r="B372" t="s">
        <v>156</v>
      </c>
      <c r="C372" t="s">
        <v>157</v>
      </c>
      <c r="D372" t="s">
        <v>13</v>
      </c>
      <c r="E372" t="s">
        <v>14</v>
      </c>
      <c r="F372" s="1">
        <v>43234</v>
      </c>
      <c r="G372" t="s">
        <v>157</v>
      </c>
      <c r="H372">
        <v>4223.2070880000001</v>
      </c>
      <c r="I372">
        <v>144</v>
      </c>
      <c r="J372">
        <v>0</v>
      </c>
      <c r="K372" s="2">
        <f t="shared" si="10"/>
        <v>61001.880160000001</v>
      </c>
      <c r="L372" s="2">
        <v>59224.880000000005</v>
      </c>
      <c r="M372" s="3">
        <f t="shared" si="11"/>
        <v>3.0004284685760441E-2</v>
      </c>
    </row>
    <row r="373" spans="1:13" x14ac:dyDescent="0.25">
      <c r="A373" t="s">
        <v>268</v>
      </c>
      <c r="B373" t="s">
        <v>189</v>
      </c>
      <c r="C373" t="s">
        <v>23</v>
      </c>
      <c r="D373" t="s">
        <v>13</v>
      </c>
      <c r="E373" t="s">
        <v>14</v>
      </c>
      <c r="F373" s="1">
        <v>42954</v>
      </c>
      <c r="G373" t="s">
        <v>23</v>
      </c>
      <c r="H373">
        <v>4069.8268800000001</v>
      </c>
      <c r="I373">
        <v>140</v>
      </c>
      <c r="J373">
        <v>0</v>
      </c>
      <c r="K373" s="2">
        <f t="shared" si="10"/>
        <v>60465.999360000002</v>
      </c>
      <c r="L373" s="2">
        <v>59280</v>
      </c>
      <c r="M373" s="3">
        <f t="shared" si="11"/>
        <v>2.0006736842105299E-2</v>
      </c>
    </row>
    <row r="374" spans="1:13" x14ac:dyDescent="0.25">
      <c r="A374" t="s">
        <v>18</v>
      </c>
      <c r="B374" t="s">
        <v>19</v>
      </c>
      <c r="C374" t="s">
        <v>20</v>
      </c>
      <c r="D374" t="s">
        <v>13</v>
      </c>
      <c r="E374" t="s">
        <v>14</v>
      </c>
      <c r="F374" s="1">
        <v>44348</v>
      </c>
      <c r="G374" t="s">
        <v>20</v>
      </c>
      <c r="H374">
        <v>4359</v>
      </c>
      <c r="I374">
        <v>150</v>
      </c>
      <c r="J374">
        <v>0</v>
      </c>
      <c r="K374" s="2">
        <f t="shared" si="10"/>
        <v>60444.800000000003</v>
      </c>
      <c r="L374" s="2">
        <v>60444.799999999996</v>
      </c>
      <c r="M374" s="3">
        <f t="shared" si="11"/>
        <v>2.2204460492503131E-16</v>
      </c>
    </row>
    <row r="375" spans="1:13" x14ac:dyDescent="0.25">
      <c r="A375" t="s">
        <v>281</v>
      </c>
      <c r="B375" t="s">
        <v>19</v>
      </c>
      <c r="C375" t="s">
        <v>20</v>
      </c>
      <c r="D375" t="s">
        <v>13</v>
      </c>
      <c r="E375" t="s">
        <v>14</v>
      </c>
      <c r="F375" s="1">
        <v>44732</v>
      </c>
      <c r="G375" t="s">
        <v>20</v>
      </c>
      <c r="H375">
        <v>3952.16</v>
      </c>
      <c r="I375">
        <v>136</v>
      </c>
      <c r="J375">
        <v>0</v>
      </c>
      <c r="K375" s="2">
        <f t="shared" si="10"/>
        <v>60444.800000000003</v>
      </c>
      <c r="L375" s="2">
        <v>60444.800000000003</v>
      </c>
      <c r="M375" s="3">
        <f t="shared" si="11"/>
        <v>0</v>
      </c>
    </row>
    <row r="376" spans="1:13" x14ac:dyDescent="0.25">
      <c r="A376" t="s">
        <v>388</v>
      </c>
      <c r="B376" t="s">
        <v>19</v>
      </c>
      <c r="C376" t="s">
        <v>20</v>
      </c>
      <c r="D376" t="s">
        <v>13</v>
      </c>
      <c r="E376" t="s">
        <v>14</v>
      </c>
      <c r="F376" s="1">
        <v>45230</v>
      </c>
      <c r="G376" t="s">
        <v>20</v>
      </c>
      <c r="H376">
        <v>2906</v>
      </c>
      <c r="I376">
        <v>100</v>
      </c>
      <c r="J376">
        <v>0</v>
      </c>
      <c r="K376" s="2">
        <f t="shared" si="10"/>
        <v>60444.800000000003</v>
      </c>
      <c r="L376" s="2">
        <v>60444.799999999996</v>
      </c>
      <c r="M376" s="3">
        <f t="shared" si="11"/>
        <v>2.2204460492503131E-16</v>
      </c>
    </row>
    <row r="377" spans="1:13" x14ac:dyDescent="0.25">
      <c r="A377" t="s">
        <v>769</v>
      </c>
      <c r="B377" t="s">
        <v>19</v>
      </c>
      <c r="C377" t="s">
        <v>20</v>
      </c>
      <c r="D377" t="s">
        <v>13</v>
      </c>
      <c r="E377" t="s">
        <v>14</v>
      </c>
      <c r="F377" s="1">
        <v>38187</v>
      </c>
      <c r="G377" t="s">
        <v>20</v>
      </c>
      <c r="H377">
        <v>4417.12</v>
      </c>
      <c r="I377">
        <v>152</v>
      </c>
      <c r="J377">
        <v>0</v>
      </c>
      <c r="K377" s="2">
        <f t="shared" si="10"/>
        <v>60444.799999999996</v>
      </c>
      <c r="L377" s="2">
        <v>60444.800000000003</v>
      </c>
      <c r="M377" s="3">
        <f t="shared" si="11"/>
        <v>-1.1102230246251565E-16</v>
      </c>
    </row>
    <row r="378" spans="1:13" x14ac:dyDescent="0.25">
      <c r="A378" t="s">
        <v>93</v>
      </c>
      <c r="B378" t="s">
        <v>94</v>
      </c>
      <c r="C378" t="s">
        <v>95</v>
      </c>
      <c r="D378" t="s">
        <v>13</v>
      </c>
      <c r="E378" t="s">
        <v>14</v>
      </c>
      <c r="F378" s="1">
        <v>45810</v>
      </c>
      <c r="G378" t="s">
        <v>95</v>
      </c>
      <c r="H378">
        <v>4385.2</v>
      </c>
      <c r="I378">
        <v>152</v>
      </c>
      <c r="J378">
        <v>0</v>
      </c>
      <c r="K378" s="2">
        <f t="shared" si="10"/>
        <v>60008</v>
      </c>
      <c r="L378" s="2">
        <v>60008</v>
      </c>
      <c r="M378" s="3">
        <f t="shared" si="11"/>
        <v>0</v>
      </c>
    </row>
    <row r="379" spans="1:13" x14ac:dyDescent="0.25">
      <c r="A379" t="s">
        <v>431</v>
      </c>
      <c r="B379" t="s">
        <v>35</v>
      </c>
      <c r="C379" t="s">
        <v>17</v>
      </c>
      <c r="D379" t="s">
        <v>13</v>
      </c>
      <c r="E379" t="s">
        <v>14</v>
      </c>
      <c r="F379" s="1">
        <v>45636</v>
      </c>
      <c r="G379" t="s">
        <v>17</v>
      </c>
      <c r="H379">
        <v>4385.2</v>
      </c>
      <c r="I379">
        <v>152</v>
      </c>
      <c r="J379">
        <v>0</v>
      </c>
      <c r="K379" s="2">
        <f t="shared" si="10"/>
        <v>60008</v>
      </c>
      <c r="L379" s="2">
        <v>60007.999996387538</v>
      </c>
      <c r="M379" s="3">
        <f t="shared" si="11"/>
        <v>6.0199623064249863E-11</v>
      </c>
    </row>
    <row r="380" spans="1:13" x14ac:dyDescent="0.25">
      <c r="A380" t="s">
        <v>738</v>
      </c>
      <c r="B380" t="s">
        <v>22</v>
      </c>
      <c r="C380" t="s">
        <v>169</v>
      </c>
      <c r="D380" t="s">
        <v>13</v>
      </c>
      <c r="E380" t="s">
        <v>14</v>
      </c>
      <c r="F380" s="1">
        <v>36173</v>
      </c>
      <c r="G380" t="s">
        <v>169</v>
      </c>
      <c r="H380">
        <v>4351.0505039999998</v>
      </c>
      <c r="I380">
        <v>151</v>
      </c>
      <c r="J380">
        <v>0</v>
      </c>
      <c r="K380" s="2">
        <f t="shared" si="10"/>
        <v>59935.000319999992</v>
      </c>
      <c r="L380" s="2">
        <v>58760</v>
      </c>
      <c r="M380" s="3">
        <f t="shared" si="11"/>
        <v>1.999660176991136E-2</v>
      </c>
    </row>
    <row r="381" spans="1:13" x14ac:dyDescent="0.25">
      <c r="A381" t="s">
        <v>1045</v>
      </c>
      <c r="B381" t="s">
        <v>33</v>
      </c>
      <c r="C381" t="s">
        <v>31</v>
      </c>
      <c r="D381" t="s">
        <v>13</v>
      </c>
      <c r="E381" t="s">
        <v>14</v>
      </c>
      <c r="F381" s="1">
        <v>45197</v>
      </c>
      <c r="G381" t="s">
        <v>31</v>
      </c>
      <c r="H381">
        <v>4121.5090170000003</v>
      </c>
      <c r="I381">
        <v>143.4</v>
      </c>
      <c r="J381">
        <v>0</v>
      </c>
      <c r="K381" s="2">
        <f t="shared" si="10"/>
        <v>59781.999688702927</v>
      </c>
      <c r="L381" s="2">
        <v>57648.999196225253</v>
      </c>
      <c r="M381" s="3">
        <f t="shared" si="11"/>
        <v>3.6999783555953458E-2</v>
      </c>
    </row>
    <row r="382" spans="1:13" x14ac:dyDescent="0.25">
      <c r="A382" t="s">
        <v>640</v>
      </c>
      <c r="B382" t="s">
        <v>67</v>
      </c>
      <c r="C382" t="s">
        <v>244</v>
      </c>
      <c r="D382" t="s">
        <v>13</v>
      </c>
      <c r="E382" t="s">
        <v>14</v>
      </c>
      <c r="F382" s="1">
        <v>45294</v>
      </c>
      <c r="G382" t="s">
        <v>244</v>
      </c>
      <c r="H382">
        <v>3964.1163799999999</v>
      </c>
      <c r="I382">
        <v>138</v>
      </c>
      <c r="J382">
        <v>0</v>
      </c>
      <c r="K382" s="2">
        <f t="shared" si="10"/>
        <v>59749.000510144928</v>
      </c>
      <c r="L382" s="2">
        <v>58576.999561014083</v>
      </c>
      <c r="M382" s="3">
        <f t="shared" si="11"/>
        <v>2.0007869264626388E-2</v>
      </c>
    </row>
    <row r="383" spans="1:13" x14ac:dyDescent="0.25">
      <c r="A383" t="s">
        <v>994</v>
      </c>
      <c r="B383" t="s">
        <v>33</v>
      </c>
      <c r="C383" t="s">
        <v>31</v>
      </c>
      <c r="D383" t="s">
        <v>13</v>
      </c>
      <c r="E383" t="s">
        <v>14</v>
      </c>
      <c r="F383" s="1">
        <v>44621</v>
      </c>
      <c r="G383" t="s">
        <v>31</v>
      </c>
      <c r="H383">
        <v>4091.5947590000001</v>
      </c>
      <c r="I383">
        <v>142.56666666666601</v>
      </c>
      <c r="J383">
        <v>0</v>
      </c>
      <c r="K383" s="2">
        <f t="shared" si="10"/>
        <v>59694.999523404535</v>
      </c>
      <c r="L383" s="2">
        <v>57787.999360000009</v>
      </c>
      <c r="M383" s="3">
        <f t="shared" si="11"/>
        <v>3.2999933974605211E-2</v>
      </c>
    </row>
    <row r="384" spans="1:13" x14ac:dyDescent="0.25">
      <c r="A384" t="s">
        <v>603</v>
      </c>
      <c r="B384" t="s">
        <v>494</v>
      </c>
      <c r="C384" t="s">
        <v>47</v>
      </c>
      <c r="D384" t="s">
        <v>13</v>
      </c>
      <c r="E384" t="s">
        <v>14</v>
      </c>
      <c r="F384" s="1">
        <v>44929</v>
      </c>
      <c r="G384" t="s">
        <v>47</v>
      </c>
      <c r="H384">
        <v>3438.58896</v>
      </c>
      <c r="I384">
        <v>120</v>
      </c>
      <c r="J384">
        <v>0</v>
      </c>
      <c r="K384" s="2">
        <f t="shared" si="10"/>
        <v>59602.208639999997</v>
      </c>
      <c r="L384" s="2">
        <v>57754.207764438426</v>
      </c>
      <c r="M384" s="3">
        <f t="shared" si="11"/>
        <v>3.1997683754904749E-2</v>
      </c>
    </row>
    <row r="385" spans="1:13" x14ac:dyDescent="0.25">
      <c r="A385" t="s">
        <v>212</v>
      </c>
      <c r="B385" t="s">
        <v>213</v>
      </c>
      <c r="C385" t="s">
        <v>169</v>
      </c>
      <c r="D385" t="s">
        <v>13</v>
      </c>
      <c r="E385" t="s">
        <v>14</v>
      </c>
      <c r="F385" s="1">
        <v>33105</v>
      </c>
      <c r="G385" t="s">
        <v>169</v>
      </c>
      <c r="H385">
        <v>3944.7050220000001</v>
      </c>
      <c r="I385">
        <v>138</v>
      </c>
      <c r="J385">
        <v>0</v>
      </c>
      <c r="K385" s="2">
        <f t="shared" si="10"/>
        <v>59456.423519999997</v>
      </c>
      <c r="L385" s="2">
        <v>57882.000800000002</v>
      </c>
      <c r="M385" s="3">
        <f t="shared" si="11"/>
        <v>2.7200558001443387E-2</v>
      </c>
    </row>
    <row r="386" spans="1:13" x14ac:dyDescent="0.25">
      <c r="A386" t="s">
        <v>428</v>
      </c>
      <c r="B386" t="s">
        <v>420</v>
      </c>
      <c r="C386" t="s">
        <v>23</v>
      </c>
      <c r="D386" t="s">
        <v>13</v>
      </c>
      <c r="E386" t="s">
        <v>14</v>
      </c>
      <c r="F386" s="1">
        <v>39084</v>
      </c>
      <c r="G386" t="s">
        <v>23</v>
      </c>
      <c r="H386">
        <v>3878.1708330000001</v>
      </c>
      <c r="I386">
        <v>136</v>
      </c>
      <c r="J386">
        <v>0</v>
      </c>
      <c r="K386" s="2">
        <f t="shared" ref="K386:K449" si="12">(2080/I386)*H386</f>
        <v>59313.200975294123</v>
      </c>
      <c r="L386" s="2">
        <v>57585.600800000007</v>
      </c>
      <c r="M386" s="3">
        <f t="shared" si="11"/>
        <v>3.0000558321762183E-2</v>
      </c>
    </row>
    <row r="387" spans="1:13" x14ac:dyDescent="0.25">
      <c r="A387" t="s">
        <v>788</v>
      </c>
      <c r="B387" t="s">
        <v>59</v>
      </c>
      <c r="C387" t="s">
        <v>789</v>
      </c>
      <c r="D387" t="s">
        <v>13</v>
      </c>
      <c r="E387" t="s">
        <v>14</v>
      </c>
      <c r="F387" s="1">
        <v>44383</v>
      </c>
      <c r="G387" t="s">
        <v>789</v>
      </c>
      <c r="H387">
        <v>4332</v>
      </c>
      <c r="I387">
        <v>152</v>
      </c>
      <c r="J387">
        <v>0</v>
      </c>
      <c r="K387" s="2">
        <f t="shared" si="12"/>
        <v>59280</v>
      </c>
      <c r="L387" s="2">
        <v>59280</v>
      </c>
      <c r="M387" s="3">
        <f t="shared" ref="M387:M450" si="13">IFERROR((K387/L387)-1,0)</f>
        <v>0</v>
      </c>
    </row>
    <row r="388" spans="1:13" x14ac:dyDescent="0.25">
      <c r="A388" t="s">
        <v>605</v>
      </c>
      <c r="B388" t="s">
        <v>292</v>
      </c>
      <c r="C388" t="s">
        <v>23</v>
      </c>
      <c r="D388" t="s">
        <v>13</v>
      </c>
      <c r="E388" t="s">
        <v>14</v>
      </c>
      <c r="F388" s="1">
        <v>43479</v>
      </c>
      <c r="G388" t="s">
        <v>23</v>
      </c>
      <c r="H388">
        <v>3870.3115280000002</v>
      </c>
      <c r="I388">
        <v>136</v>
      </c>
      <c r="J388">
        <v>0</v>
      </c>
      <c r="K388" s="2">
        <f t="shared" si="12"/>
        <v>59192.999840000004</v>
      </c>
      <c r="L388" s="2">
        <v>57330</v>
      </c>
      <c r="M388" s="3">
        <f t="shared" si="13"/>
        <v>3.2496072562358425E-2</v>
      </c>
    </row>
    <row r="389" spans="1:13" x14ac:dyDescent="0.25">
      <c r="A389" t="s">
        <v>464</v>
      </c>
      <c r="B389" t="s">
        <v>19</v>
      </c>
      <c r="C389" t="s">
        <v>164</v>
      </c>
      <c r="D389" t="s">
        <v>13</v>
      </c>
      <c r="E389" t="s">
        <v>14</v>
      </c>
      <c r="F389" s="1">
        <v>44648</v>
      </c>
      <c r="G389" t="s">
        <v>164</v>
      </c>
      <c r="H389">
        <v>2897.82</v>
      </c>
      <c r="I389">
        <v>102</v>
      </c>
      <c r="J389">
        <v>0</v>
      </c>
      <c r="K389" s="2">
        <f t="shared" si="12"/>
        <v>59092.800000000003</v>
      </c>
      <c r="L389" s="2">
        <v>59092.799999999996</v>
      </c>
      <c r="M389" s="3">
        <f t="shared" si="13"/>
        <v>2.2204460492503131E-16</v>
      </c>
    </row>
    <row r="390" spans="1:13" x14ac:dyDescent="0.25">
      <c r="A390" t="s">
        <v>837</v>
      </c>
      <c r="B390" t="s">
        <v>19</v>
      </c>
      <c r="C390" t="s">
        <v>164</v>
      </c>
      <c r="D390" t="s">
        <v>13</v>
      </c>
      <c r="E390" t="s">
        <v>14</v>
      </c>
      <c r="F390" s="1">
        <v>44319</v>
      </c>
      <c r="G390" t="s">
        <v>164</v>
      </c>
      <c r="H390">
        <v>3750.12</v>
      </c>
      <c r="I390">
        <v>132</v>
      </c>
      <c r="J390">
        <v>0</v>
      </c>
      <c r="K390" s="2">
        <f t="shared" si="12"/>
        <v>59092.799999999996</v>
      </c>
      <c r="L390" s="2">
        <v>59092.799999999996</v>
      </c>
      <c r="M390" s="3">
        <f t="shared" si="13"/>
        <v>0</v>
      </c>
    </row>
    <row r="391" spans="1:13" x14ac:dyDescent="0.25">
      <c r="A391" t="s">
        <v>689</v>
      </c>
      <c r="B391" t="s">
        <v>557</v>
      </c>
      <c r="C391" t="s">
        <v>690</v>
      </c>
      <c r="D391" t="s">
        <v>13</v>
      </c>
      <c r="E391" t="s">
        <v>14</v>
      </c>
      <c r="F391" s="1">
        <v>41918</v>
      </c>
      <c r="G391" t="s">
        <v>690</v>
      </c>
      <c r="H391">
        <v>3444.268028</v>
      </c>
      <c r="I391">
        <v>121.5</v>
      </c>
      <c r="J391">
        <v>0</v>
      </c>
      <c r="K391" s="2">
        <f t="shared" si="12"/>
        <v>58963.60080855967</v>
      </c>
      <c r="L391" s="2">
        <v>57246.600319999998</v>
      </c>
      <c r="M391" s="3">
        <f t="shared" si="13"/>
        <v>2.9993055988685624E-2</v>
      </c>
    </row>
    <row r="392" spans="1:13" x14ac:dyDescent="0.25">
      <c r="A392" t="s">
        <v>567</v>
      </c>
      <c r="B392" t="s">
        <v>205</v>
      </c>
      <c r="C392" t="s">
        <v>236</v>
      </c>
      <c r="D392" t="s">
        <v>13</v>
      </c>
      <c r="E392" t="s">
        <v>14</v>
      </c>
      <c r="F392" s="1">
        <v>44705</v>
      </c>
      <c r="G392" t="s">
        <v>236</v>
      </c>
      <c r="H392">
        <v>4217.4163920000001</v>
      </c>
      <c r="I392">
        <v>149</v>
      </c>
      <c r="J392">
        <v>0</v>
      </c>
      <c r="K392" s="2">
        <f t="shared" si="12"/>
        <v>58874.000639999998</v>
      </c>
      <c r="L392" s="2">
        <v>57720.000000000007</v>
      </c>
      <c r="M392" s="3">
        <f t="shared" si="13"/>
        <v>1.9993081081080888E-2</v>
      </c>
    </row>
    <row r="393" spans="1:13" x14ac:dyDescent="0.25">
      <c r="A393" t="s">
        <v>987</v>
      </c>
      <c r="B393" t="s">
        <v>62</v>
      </c>
      <c r="C393" t="s">
        <v>988</v>
      </c>
      <c r="D393" t="s">
        <v>13</v>
      </c>
      <c r="E393" t="s">
        <v>14</v>
      </c>
      <c r="F393" s="1">
        <v>44732</v>
      </c>
      <c r="G393" t="s">
        <v>988</v>
      </c>
      <c r="H393">
        <v>4089.002622</v>
      </c>
      <c r="I393">
        <v>144.5</v>
      </c>
      <c r="J393">
        <v>0</v>
      </c>
      <c r="K393" s="2">
        <f t="shared" si="12"/>
        <v>58858.999680000001</v>
      </c>
      <c r="L393" s="2">
        <v>57200</v>
      </c>
      <c r="M393" s="3">
        <f t="shared" si="13"/>
        <v>2.9003490909090823E-2</v>
      </c>
    </row>
    <row r="394" spans="1:13" x14ac:dyDescent="0.25">
      <c r="A394" t="s">
        <v>910</v>
      </c>
      <c r="B394" t="s">
        <v>59</v>
      </c>
      <c r="C394" t="s">
        <v>95</v>
      </c>
      <c r="D394" t="s">
        <v>13</v>
      </c>
      <c r="E394" t="s">
        <v>14</v>
      </c>
      <c r="F394" s="1">
        <v>45369</v>
      </c>
      <c r="G394" t="s">
        <v>95</v>
      </c>
      <c r="H394">
        <v>4293.9268899999997</v>
      </c>
      <c r="I394">
        <v>152</v>
      </c>
      <c r="J394">
        <v>0</v>
      </c>
      <c r="K394" s="2">
        <f t="shared" si="12"/>
        <v>58758.999547368418</v>
      </c>
      <c r="L394" s="2">
        <v>56992.000000000007</v>
      </c>
      <c r="M394" s="3">
        <f t="shared" si="13"/>
        <v>3.1004343545908419E-2</v>
      </c>
    </row>
    <row r="395" spans="1:13" x14ac:dyDescent="0.25">
      <c r="A395" t="s">
        <v>243</v>
      </c>
      <c r="B395" t="s">
        <v>67</v>
      </c>
      <c r="C395" t="s">
        <v>244</v>
      </c>
      <c r="D395" t="s">
        <v>13</v>
      </c>
      <c r="E395" t="s">
        <v>14</v>
      </c>
      <c r="F395" s="1">
        <v>44721</v>
      </c>
      <c r="G395" t="s">
        <v>244</v>
      </c>
      <c r="H395">
        <v>3916.3249999999998</v>
      </c>
      <c r="I395">
        <v>139</v>
      </c>
      <c r="J395">
        <v>0</v>
      </c>
      <c r="K395" s="2">
        <f t="shared" si="12"/>
        <v>58603.999999999993</v>
      </c>
      <c r="L395" s="2">
        <v>56079.999138358835</v>
      </c>
      <c r="M395" s="3">
        <f t="shared" si="13"/>
        <v>4.5007148723630097E-2</v>
      </c>
    </row>
    <row r="396" spans="1:13" x14ac:dyDescent="0.25">
      <c r="A396" t="s">
        <v>1016</v>
      </c>
      <c r="B396" t="s">
        <v>189</v>
      </c>
      <c r="C396" t="s">
        <v>169</v>
      </c>
      <c r="D396" t="s">
        <v>13</v>
      </c>
      <c r="E396" t="s">
        <v>14</v>
      </c>
      <c r="F396" s="1">
        <v>40718</v>
      </c>
      <c r="G396" t="s">
        <v>169</v>
      </c>
      <c r="H396">
        <v>4051.523091</v>
      </c>
      <c r="I396">
        <v>144</v>
      </c>
      <c r="J396">
        <v>0</v>
      </c>
      <c r="K396" s="2">
        <f t="shared" si="12"/>
        <v>58522.000203333337</v>
      </c>
      <c r="L396" s="2">
        <v>56680</v>
      </c>
      <c r="M396" s="3">
        <f t="shared" si="13"/>
        <v>3.24982392966362E-2</v>
      </c>
    </row>
    <row r="397" spans="1:13" x14ac:dyDescent="0.25">
      <c r="A397" t="s">
        <v>109</v>
      </c>
      <c r="B397" t="s">
        <v>110</v>
      </c>
      <c r="C397" t="s">
        <v>111</v>
      </c>
      <c r="D397" t="s">
        <v>13</v>
      </c>
      <c r="E397" t="s">
        <v>14</v>
      </c>
      <c r="F397" s="1">
        <v>42009</v>
      </c>
      <c r="G397" t="s">
        <v>111</v>
      </c>
      <c r="H397">
        <v>4273.9588020000001</v>
      </c>
      <c r="I397">
        <v>152</v>
      </c>
      <c r="J397">
        <v>0</v>
      </c>
      <c r="K397" s="2">
        <f t="shared" si="12"/>
        <v>58485.75202736842</v>
      </c>
      <c r="L397" s="2">
        <v>56782.752000000008</v>
      </c>
      <c r="M397" s="3">
        <f t="shared" si="13"/>
        <v>2.9991502126709424E-2</v>
      </c>
    </row>
    <row r="398" spans="1:13" x14ac:dyDescent="0.25">
      <c r="A398" t="s">
        <v>918</v>
      </c>
      <c r="B398" t="s">
        <v>424</v>
      </c>
      <c r="C398" t="s">
        <v>263</v>
      </c>
      <c r="D398" t="s">
        <v>13</v>
      </c>
      <c r="E398" t="s">
        <v>14</v>
      </c>
      <c r="F398" s="1">
        <v>44662</v>
      </c>
      <c r="G398" t="s">
        <v>263</v>
      </c>
      <c r="H398">
        <v>4259.8448820000003</v>
      </c>
      <c r="I398">
        <v>151.5</v>
      </c>
      <c r="J398">
        <v>0</v>
      </c>
      <c r="K398" s="2">
        <f t="shared" si="12"/>
        <v>58484.999040000002</v>
      </c>
      <c r="L398" s="2">
        <v>55699.999728941177</v>
      </c>
      <c r="M398" s="3">
        <f t="shared" si="13"/>
        <v>4.9999987874537855E-2</v>
      </c>
    </row>
    <row r="399" spans="1:13" x14ac:dyDescent="0.25">
      <c r="A399" t="s">
        <v>294</v>
      </c>
      <c r="B399" t="s">
        <v>295</v>
      </c>
      <c r="C399" t="s">
        <v>17</v>
      </c>
      <c r="D399" t="s">
        <v>13</v>
      </c>
      <c r="E399" t="s">
        <v>14</v>
      </c>
      <c r="F399" s="1">
        <v>42541</v>
      </c>
      <c r="G399" t="s">
        <v>17</v>
      </c>
      <c r="H399">
        <v>4100.568765</v>
      </c>
      <c r="I399">
        <v>146.25</v>
      </c>
      <c r="J399">
        <v>0</v>
      </c>
      <c r="K399" s="2">
        <f t="shared" si="12"/>
        <v>58319.20021333333</v>
      </c>
      <c r="L399" s="2">
        <v>56347.199999999997</v>
      </c>
      <c r="M399" s="3">
        <f t="shared" si="13"/>
        <v>3.4997306225213132E-2</v>
      </c>
    </row>
    <row r="400" spans="1:13" x14ac:dyDescent="0.25">
      <c r="A400" t="s">
        <v>586</v>
      </c>
      <c r="B400" t="s">
        <v>19</v>
      </c>
      <c r="C400" t="s">
        <v>23</v>
      </c>
      <c r="D400" t="s">
        <v>13</v>
      </c>
      <c r="E400" t="s">
        <v>14</v>
      </c>
      <c r="F400" s="1">
        <v>44830</v>
      </c>
      <c r="G400" t="s">
        <v>23</v>
      </c>
      <c r="H400">
        <v>3831.7350000000001</v>
      </c>
      <c r="I400">
        <v>136.75</v>
      </c>
      <c r="J400">
        <v>0</v>
      </c>
      <c r="K400" s="2">
        <f t="shared" si="12"/>
        <v>58281.599999999999</v>
      </c>
      <c r="L400" s="2">
        <v>58281.599999999999</v>
      </c>
      <c r="M400" s="3">
        <f t="shared" si="13"/>
        <v>0</v>
      </c>
    </row>
    <row r="401" spans="1:13" x14ac:dyDescent="0.25">
      <c r="A401" t="s">
        <v>438</v>
      </c>
      <c r="B401" t="s">
        <v>33</v>
      </c>
      <c r="C401" t="s">
        <v>23</v>
      </c>
      <c r="D401" t="s">
        <v>13</v>
      </c>
      <c r="E401" t="s">
        <v>14</v>
      </c>
      <c r="F401" s="1">
        <v>44854</v>
      </c>
      <c r="G401" t="s">
        <v>23</v>
      </c>
      <c r="H401">
        <v>4253.2</v>
      </c>
      <c r="I401">
        <v>151.9</v>
      </c>
      <c r="J401">
        <v>0</v>
      </c>
      <c r="K401" s="2">
        <f t="shared" si="12"/>
        <v>58239.999999999993</v>
      </c>
      <c r="L401" s="2">
        <v>58240.000003665409</v>
      </c>
      <c r="M401" s="3">
        <f t="shared" si="13"/>
        <v>-6.2936433842253336E-11</v>
      </c>
    </row>
    <row r="402" spans="1:13" x14ac:dyDescent="0.25">
      <c r="A402" t="s">
        <v>683</v>
      </c>
      <c r="B402" t="s">
        <v>67</v>
      </c>
      <c r="C402" t="s">
        <v>684</v>
      </c>
      <c r="D402" t="s">
        <v>13</v>
      </c>
      <c r="E402" t="s">
        <v>14</v>
      </c>
      <c r="F402" s="1">
        <v>44893</v>
      </c>
      <c r="G402" t="s">
        <v>684</v>
      </c>
      <c r="H402">
        <v>4255.5614820000001</v>
      </c>
      <c r="I402">
        <v>152</v>
      </c>
      <c r="J402">
        <v>0</v>
      </c>
      <c r="K402" s="2">
        <f t="shared" si="12"/>
        <v>58233.999227368418</v>
      </c>
      <c r="L402" s="2">
        <v>57092.000169327359</v>
      </c>
      <c r="M402" s="3">
        <f t="shared" si="13"/>
        <v>2.0002785935928635E-2</v>
      </c>
    </row>
    <row r="403" spans="1:13" x14ac:dyDescent="0.25">
      <c r="A403" t="s">
        <v>570</v>
      </c>
      <c r="B403" t="s">
        <v>571</v>
      </c>
      <c r="C403" t="s">
        <v>572</v>
      </c>
      <c r="D403" t="s">
        <v>13</v>
      </c>
      <c r="E403" t="s">
        <v>14</v>
      </c>
      <c r="F403" s="1">
        <v>44446</v>
      </c>
      <c r="G403" t="s">
        <v>572</v>
      </c>
      <c r="H403">
        <v>4252.1854080000003</v>
      </c>
      <c r="I403">
        <v>152</v>
      </c>
      <c r="J403">
        <v>0</v>
      </c>
      <c r="K403" s="2">
        <f t="shared" si="12"/>
        <v>58187.800320000002</v>
      </c>
      <c r="L403" s="2">
        <v>56492.799999999996</v>
      </c>
      <c r="M403" s="3">
        <f t="shared" si="13"/>
        <v>3.0003829160530238E-2</v>
      </c>
    </row>
    <row r="404" spans="1:13" x14ac:dyDescent="0.25">
      <c r="A404" t="s">
        <v>875</v>
      </c>
      <c r="B404" t="s">
        <v>137</v>
      </c>
      <c r="C404" t="s">
        <v>17</v>
      </c>
      <c r="D404" t="s">
        <v>13</v>
      </c>
      <c r="E404" t="s">
        <v>14</v>
      </c>
      <c r="F404" s="1">
        <v>45747</v>
      </c>
      <c r="G404" t="s">
        <v>17</v>
      </c>
      <c r="H404">
        <v>4237.76</v>
      </c>
      <c r="I404">
        <v>152</v>
      </c>
      <c r="J404">
        <v>0</v>
      </c>
      <c r="K404" s="2">
        <f t="shared" si="12"/>
        <v>57990.400000000001</v>
      </c>
      <c r="L404" s="2">
        <v>57990.400000000001</v>
      </c>
      <c r="M404" s="3">
        <f t="shared" si="13"/>
        <v>0</v>
      </c>
    </row>
    <row r="405" spans="1:13" x14ac:dyDescent="0.25">
      <c r="A405" t="s">
        <v>916</v>
      </c>
      <c r="B405" t="s">
        <v>459</v>
      </c>
      <c r="C405" t="s">
        <v>47</v>
      </c>
      <c r="D405" t="s">
        <v>13</v>
      </c>
      <c r="E405" t="s">
        <v>14</v>
      </c>
      <c r="F405" s="1">
        <v>41122</v>
      </c>
      <c r="G405" t="s">
        <v>47</v>
      </c>
      <c r="H405">
        <v>2669.76</v>
      </c>
      <c r="I405">
        <v>96</v>
      </c>
      <c r="J405">
        <v>0</v>
      </c>
      <c r="K405" s="2">
        <f t="shared" si="12"/>
        <v>57844.80000000001</v>
      </c>
      <c r="L405" s="2">
        <v>50835.199999999997</v>
      </c>
      <c r="M405" s="3">
        <f t="shared" si="13"/>
        <v>0.13788870703764355</v>
      </c>
    </row>
    <row r="406" spans="1:13" x14ac:dyDescent="0.25">
      <c r="A406" t="s">
        <v>421</v>
      </c>
      <c r="B406" t="s">
        <v>366</v>
      </c>
      <c r="C406" t="s">
        <v>23</v>
      </c>
      <c r="D406" t="s">
        <v>13</v>
      </c>
      <c r="E406" t="s">
        <v>14</v>
      </c>
      <c r="F406" s="1">
        <v>44795</v>
      </c>
      <c r="G406" t="s">
        <v>23</v>
      </c>
      <c r="H406">
        <v>3780.3423640000001</v>
      </c>
      <c r="I406">
        <v>136</v>
      </c>
      <c r="J406">
        <v>0</v>
      </c>
      <c r="K406" s="2">
        <f t="shared" si="12"/>
        <v>57817.000861176472</v>
      </c>
      <c r="L406" s="2">
        <v>56160</v>
      </c>
      <c r="M406" s="3">
        <f t="shared" si="13"/>
        <v>2.9505001089324745E-2</v>
      </c>
    </row>
    <row r="407" spans="1:13" x14ac:dyDescent="0.25">
      <c r="A407" t="s">
        <v>1047</v>
      </c>
      <c r="B407" t="s">
        <v>242</v>
      </c>
      <c r="C407" t="s">
        <v>23</v>
      </c>
      <c r="D407" t="s">
        <v>13</v>
      </c>
      <c r="E407" t="s">
        <v>14</v>
      </c>
      <c r="F407" s="1">
        <v>42205</v>
      </c>
      <c r="G407" t="s">
        <v>23</v>
      </c>
      <c r="H407">
        <v>4221.0298160000002</v>
      </c>
      <c r="I407">
        <v>152</v>
      </c>
      <c r="J407">
        <v>0</v>
      </c>
      <c r="K407" s="2">
        <f t="shared" si="12"/>
        <v>57761.460640000005</v>
      </c>
      <c r="L407" s="2">
        <v>56079.000639999998</v>
      </c>
      <c r="M407" s="3">
        <f t="shared" si="13"/>
        <v>3.0001604536439297E-2</v>
      </c>
    </row>
    <row r="408" spans="1:13" x14ac:dyDescent="0.25">
      <c r="A408" t="s">
        <v>995</v>
      </c>
      <c r="B408" t="s">
        <v>19</v>
      </c>
      <c r="C408" t="s">
        <v>31</v>
      </c>
      <c r="D408" t="s">
        <v>13</v>
      </c>
      <c r="E408" t="s">
        <v>14</v>
      </c>
      <c r="F408" s="1">
        <v>43836</v>
      </c>
      <c r="G408" t="s">
        <v>31</v>
      </c>
      <c r="H408">
        <v>3096.8</v>
      </c>
      <c r="I408">
        <v>112</v>
      </c>
      <c r="J408">
        <v>0</v>
      </c>
      <c r="K408" s="2">
        <f t="shared" si="12"/>
        <v>57512.000000000007</v>
      </c>
      <c r="L408" s="2">
        <v>57512</v>
      </c>
      <c r="M408" s="3">
        <f t="shared" si="13"/>
        <v>2.2204460492503131E-16</v>
      </c>
    </row>
    <row r="409" spans="1:13" x14ac:dyDescent="0.25">
      <c r="A409" t="s">
        <v>583</v>
      </c>
      <c r="B409" t="s">
        <v>99</v>
      </c>
      <c r="C409" t="s">
        <v>41</v>
      </c>
      <c r="D409" t="s">
        <v>13</v>
      </c>
      <c r="E409" t="s">
        <v>14</v>
      </c>
      <c r="F409" s="1">
        <v>45166</v>
      </c>
      <c r="G409" t="s">
        <v>41</v>
      </c>
      <c r="H409">
        <v>2208.8280009999999</v>
      </c>
      <c r="I409">
        <v>80</v>
      </c>
      <c r="J409">
        <v>0</v>
      </c>
      <c r="K409" s="2">
        <f t="shared" si="12"/>
        <v>57429.528026</v>
      </c>
      <c r="L409" s="2">
        <v>55120</v>
      </c>
      <c r="M409" s="3">
        <f t="shared" si="13"/>
        <v>4.1900000471698062E-2</v>
      </c>
    </row>
    <row r="410" spans="1:13" x14ac:dyDescent="0.25">
      <c r="A410" t="s">
        <v>624</v>
      </c>
      <c r="B410" t="s">
        <v>22</v>
      </c>
      <c r="C410" t="s">
        <v>12</v>
      </c>
      <c r="D410" t="s">
        <v>13</v>
      </c>
      <c r="E410" t="s">
        <v>14</v>
      </c>
      <c r="F410" s="1">
        <v>39105</v>
      </c>
      <c r="G410" t="s">
        <v>12</v>
      </c>
      <c r="H410">
        <v>3958.8611999999998</v>
      </c>
      <c r="I410">
        <v>143.75</v>
      </c>
      <c r="J410">
        <v>0</v>
      </c>
      <c r="K410" s="2">
        <f t="shared" si="12"/>
        <v>57283.000319999999</v>
      </c>
      <c r="L410" s="2">
        <v>56160</v>
      </c>
      <c r="M410" s="3">
        <f t="shared" si="13"/>
        <v>1.9996444444444483E-2</v>
      </c>
    </row>
    <row r="411" spans="1:13" x14ac:dyDescent="0.25">
      <c r="A411" t="s">
        <v>251</v>
      </c>
      <c r="B411" t="s">
        <v>168</v>
      </c>
      <c r="C411" t="s">
        <v>169</v>
      </c>
      <c r="D411" t="s">
        <v>13</v>
      </c>
      <c r="E411" t="s">
        <v>14</v>
      </c>
      <c r="F411" s="1">
        <v>44837</v>
      </c>
      <c r="G411" t="s">
        <v>169</v>
      </c>
      <c r="H411">
        <v>3060.137514</v>
      </c>
      <c r="I411">
        <v>111.35</v>
      </c>
      <c r="J411">
        <v>0</v>
      </c>
      <c r="K411" s="2">
        <f t="shared" si="12"/>
        <v>57162.87408280198</v>
      </c>
      <c r="L411" s="2">
        <v>55498.000472923966</v>
      </c>
      <c r="M411" s="3">
        <f t="shared" si="13"/>
        <v>2.9998803482843783E-2</v>
      </c>
    </row>
    <row r="412" spans="1:13" x14ac:dyDescent="0.25">
      <c r="A412" t="s">
        <v>943</v>
      </c>
      <c r="B412" t="s">
        <v>944</v>
      </c>
      <c r="C412" t="s">
        <v>945</v>
      </c>
      <c r="D412" t="s">
        <v>13</v>
      </c>
      <c r="E412" t="s">
        <v>14</v>
      </c>
      <c r="F412" s="1">
        <v>39195</v>
      </c>
      <c r="G412" t="s">
        <v>945</v>
      </c>
      <c r="H412">
        <v>3297.5192400000001</v>
      </c>
      <c r="I412">
        <v>120</v>
      </c>
      <c r="J412">
        <v>0</v>
      </c>
      <c r="K412" s="2">
        <f t="shared" si="12"/>
        <v>57157.000159999996</v>
      </c>
      <c r="L412" s="2">
        <v>54958.999680000001</v>
      </c>
      <c r="M412" s="3">
        <f t="shared" si="13"/>
        <v>3.9993458629121736E-2</v>
      </c>
    </row>
    <row r="413" spans="1:13" x14ac:dyDescent="0.25">
      <c r="A413" t="s">
        <v>762</v>
      </c>
      <c r="B413" t="s">
        <v>97</v>
      </c>
      <c r="C413" t="s">
        <v>23</v>
      </c>
      <c r="D413" t="s">
        <v>13</v>
      </c>
      <c r="E413" t="s">
        <v>14</v>
      </c>
      <c r="F413" s="1">
        <v>44494</v>
      </c>
      <c r="G413" t="s">
        <v>23</v>
      </c>
      <c r="H413">
        <v>4161.2238980000002</v>
      </c>
      <c r="I413">
        <v>152</v>
      </c>
      <c r="J413">
        <v>0</v>
      </c>
      <c r="K413" s="2">
        <f t="shared" si="12"/>
        <v>56943.063867368423</v>
      </c>
      <c r="L413" s="2">
        <v>55284.6008325</v>
      </c>
      <c r="M413" s="3">
        <f t="shared" si="13"/>
        <v>2.9998643562484828E-2</v>
      </c>
    </row>
    <row r="414" spans="1:13" x14ac:dyDescent="0.25">
      <c r="A414" t="s">
        <v>345</v>
      </c>
      <c r="B414" t="s">
        <v>19</v>
      </c>
      <c r="C414" t="s">
        <v>31</v>
      </c>
      <c r="D414" t="s">
        <v>13</v>
      </c>
      <c r="E414" t="s">
        <v>14</v>
      </c>
      <c r="F414" s="1">
        <v>44767</v>
      </c>
      <c r="G414" t="s">
        <v>31</v>
      </c>
      <c r="H414">
        <v>4155.8320000000003</v>
      </c>
      <c r="I414">
        <v>152</v>
      </c>
      <c r="J414">
        <v>0</v>
      </c>
      <c r="K414" s="2">
        <f t="shared" si="12"/>
        <v>56869.280000000006</v>
      </c>
      <c r="L414" s="2">
        <v>56869.279999999999</v>
      </c>
      <c r="M414" s="3">
        <f t="shared" si="13"/>
        <v>2.2204460492503131E-16</v>
      </c>
    </row>
    <row r="415" spans="1:13" x14ac:dyDescent="0.25">
      <c r="A415" t="s">
        <v>734</v>
      </c>
      <c r="B415" t="s">
        <v>22</v>
      </c>
      <c r="C415" t="s">
        <v>12</v>
      </c>
      <c r="D415" t="s">
        <v>13</v>
      </c>
      <c r="E415" t="s">
        <v>14</v>
      </c>
      <c r="F415" s="1">
        <v>37944</v>
      </c>
      <c r="G415" t="s">
        <v>12</v>
      </c>
      <c r="H415">
        <v>3833.5559880000001</v>
      </c>
      <c r="I415">
        <v>140.5</v>
      </c>
      <c r="J415">
        <v>0</v>
      </c>
      <c r="K415" s="2">
        <f t="shared" si="12"/>
        <v>56752.999680000001</v>
      </c>
      <c r="L415" s="2">
        <v>55640</v>
      </c>
      <c r="M415" s="3">
        <f t="shared" si="13"/>
        <v>2.0003588785046711E-2</v>
      </c>
    </row>
    <row r="416" spans="1:13" x14ac:dyDescent="0.25">
      <c r="A416" t="s">
        <v>329</v>
      </c>
      <c r="B416" t="s">
        <v>228</v>
      </c>
      <c r="C416" t="s">
        <v>41</v>
      </c>
      <c r="D416" t="s">
        <v>13</v>
      </c>
      <c r="E416" t="s">
        <v>14</v>
      </c>
      <c r="F416" s="1">
        <v>41904</v>
      </c>
      <c r="G416" t="s">
        <v>41</v>
      </c>
      <c r="H416">
        <v>3942.3628659999999</v>
      </c>
      <c r="I416">
        <v>144.5</v>
      </c>
      <c r="J416">
        <v>0</v>
      </c>
      <c r="K416" s="2">
        <f t="shared" si="12"/>
        <v>56748.19904</v>
      </c>
      <c r="L416" s="2">
        <v>54962.200817478995</v>
      </c>
      <c r="M416" s="3">
        <f t="shared" si="13"/>
        <v>3.2495027418061984E-2</v>
      </c>
    </row>
    <row r="417" spans="1:13" x14ac:dyDescent="0.25">
      <c r="A417" t="s">
        <v>346</v>
      </c>
      <c r="B417" t="s">
        <v>347</v>
      </c>
      <c r="C417" t="s">
        <v>348</v>
      </c>
      <c r="D417" t="s">
        <v>13</v>
      </c>
      <c r="E417" t="s">
        <v>14</v>
      </c>
      <c r="F417" s="1">
        <v>43528</v>
      </c>
      <c r="G417" t="s">
        <v>348</v>
      </c>
      <c r="H417">
        <v>4130.3077039999998</v>
      </c>
      <c r="I417">
        <v>152</v>
      </c>
      <c r="J417">
        <v>0</v>
      </c>
      <c r="K417" s="2">
        <f t="shared" si="12"/>
        <v>56520.000159999996</v>
      </c>
      <c r="L417" s="2">
        <v>55144.999520000005</v>
      </c>
      <c r="M417" s="3">
        <f t="shared" si="13"/>
        <v>2.4934276035333047E-2</v>
      </c>
    </row>
    <row r="418" spans="1:13" x14ac:dyDescent="0.25">
      <c r="A418" t="s">
        <v>803</v>
      </c>
      <c r="B418" t="s">
        <v>804</v>
      </c>
      <c r="C418" t="s">
        <v>63</v>
      </c>
      <c r="D418" t="s">
        <v>13</v>
      </c>
      <c r="E418" t="s">
        <v>14</v>
      </c>
      <c r="F418" s="1">
        <v>43171</v>
      </c>
      <c r="G418" t="s">
        <v>63</v>
      </c>
      <c r="H418">
        <v>3469.758464</v>
      </c>
      <c r="I418">
        <v>128</v>
      </c>
      <c r="J418">
        <v>0</v>
      </c>
      <c r="K418" s="2">
        <f t="shared" si="12"/>
        <v>56383.575040000003</v>
      </c>
      <c r="L418" s="2">
        <v>54084.576000000008</v>
      </c>
      <c r="M418" s="3">
        <f t="shared" si="13"/>
        <v>4.2507480136296127E-2</v>
      </c>
    </row>
    <row r="419" spans="1:13" x14ac:dyDescent="0.25">
      <c r="A419" t="s">
        <v>455</v>
      </c>
      <c r="B419" t="s">
        <v>97</v>
      </c>
      <c r="C419" t="s">
        <v>23</v>
      </c>
      <c r="D419" t="s">
        <v>13</v>
      </c>
      <c r="E419" t="s">
        <v>14</v>
      </c>
      <c r="F419" s="1">
        <v>42538</v>
      </c>
      <c r="G419" t="s">
        <v>23</v>
      </c>
      <c r="H419">
        <v>2816.7399519999999</v>
      </c>
      <c r="I419">
        <v>104</v>
      </c>
      <c r="J419">
        <v>0</v>
      </c>
      <c r="K419" s="2">
        <f t="shared" si="12"/>
        <v>56334.799039999998</v>
      </c>
      <c r="L419" s="2">
        <v>54561.800810833331</v>
      </c>
      <c r="M419" s="3">
        <f t="shared" si="13"/>
        <v>3.2495229314620344E-2</v>
      </c>
    </row>
    <row r="420" spans="1:13" x14ac:dyDescent="0.25">
      <c r="A420" t="s">
        <v>957</v>
      </c>
      <c r="B420" t="s">
        <v>70</v>
      </c>
      <c r="C420" t="s">
        <v>12</v>
      </c>
      <c r="D420" t="s">
        <v>13</v>
      </c>
      <c r="E420" t="s">
        <v>14</v>
      </c>
      <c r="F420" s="1">
        <v>39820</v>
      </c>
      <c r="G420" t="s">
        <v>12</v>
      </c>
      <c r="H420">
        <v>3894.886512</v>
      </c>
      <c r="I420">
        <v>144</v>
      </c>
      <c r="J420">
        <v>0</v>
      </c>
      <c r="K420" s="2">
        <f t="shared" si="12"/>
        <v>56259.471839999998</v>
      </c>
      <c r="L420" s="2">
        <v>54383.472000000002</v>
      </c>
      <c r="M420" s="3">
        <f t="shared" si="13"/>
        <v>3.4495771803609632E-2</v>
      </c>
    </row>
    <row r="421" spans="1:13" x14ac:dyDescent="0.25">
      <c r="A421" t="s">
        <v>717</v>
      </c>
      <c r="B421" t="s">
        <v>118</v>
      </c>
      <c r="C421" t="s">
        <v>416</v>
      </c>
      <c r="D421" t="s">
        <v>13</v>
      </c>
      <c r="E421" t="s">
        <v>14</v>
      </c>
      <c r="F421" s="1">
        <v>43171</v>
      </c>
      <c r="G421" t="s">
        <v>416</v>
      </c>
      <c r="H421">
        <v>4060.0207919999998</v>
      </c>
      <c r="I421">
        <v>150.25</v>
      </c>
      <c r="J421">
        <v>0</v>
      </c>
      <c r="K421" s="2">
        <f t="shared" si="12"/>
        <v>56205.2795165391</v>
      </c>
      <c r="L421" s="2">
        <v>54600.280811304357</v>
      </c>
      <c r="M421" s="3">
        <f t="shared" si="13"/>
        <v>2.9395429499374348E-2</v>
      </c>
    </row>
    <row r="422" spans="1:13" x14ac:dyDescent="0.25">
      <c r="A422" t="s">
        <v>861</v>
      </c>
      <c r="B422" t="s">
        <v>168</v>
      </c>
      <c r="C422" t="s">
        <v>169</v>
      </c>
      <c r="D422" t="s">
        <v>13</v>
      </c>
      <c r="E422" t="s">
        <v>14</v>
      </c>
      <c r="F422" s="1">
        <v>42739</v>
      </c>
      <c r="G422" t="s">
        <v>169</v>
      </c>
      <c r="H422">
        <v>3765.3610229999999</v>
      </c>
      <c r="I422">
        <v>139.38333333333301</v>
      </c>
      <c r="J422">
        <v>0</v>
      </c>
      <c r="K422" s="2">
        <f t="shared" si="12"/>
        <v>56190.010243979566</v>
      </c>
      <c r="L422" s="2">
        <v>54553.43924974063</v>
      </c>
      <c r="M422" s="3">
        <f t="shared" si="13"/>
        <v>2.9999410060048914E-2</v>
      </c>
    </row>
    <row r="423" spans="1:13" x14ac:dyDescent="0.25">
      <c r="A423" t="s">
        <v>958</v>
      </c>
      <c r="B423" t="s">
        <v>70</v>
      </c>
      <c r="C423" t="s">
        <v>12</v>
      </c>
      <c r="D423" t="s">
        <v>13</v>
      </c>
      <c r="E423" t="s">
        <v>14</v>
      </c>
      <c r="F423" s="1">
        <v>40084</v>
      </c>
      <c r="G423" t="s">
        <v>12</v>
      </c>
      <c r="H423">
        <v>3887.6022720000001</v>
      </c>
      <c r="I423">
        <v>144</v>
      </c>
      <c r="J423">
        <v>0</v>
      </c>
      <c r="K423" s="2">
        <f t="shared" si="12"/>
        <v>56154.255040000004</v>
      </c>
      <c r="L423" s="2">
        <v>54492.256000000001</v>
      </c>
      <c r="M423" s="3">
        <f t="shared" si="13"/>
        <v>3.0499728989014541E-2</v>
      </c>
    </row>
    <row r="424" spans="1:13" x14ac:dyDescent="0.25">
      <c r="A424" t="s">
        <v>434</v>
      </c>
      <c r="B424" t="s">
        <v>59</v>
      </c>
      <c r="C424" t="s">
        <v>95</v>
      </c>
      <c r="D424" t="s">
        <v>13</v>
      </c>
      <c r="E424" t="s">
        <v>14</v>
      </c>
      <c r="F424" s="1">
        <v>44487</v>
      </c>
      <c r="G424" t="s">
        <v>95</v>
      </c>
      <c r="H424">
        <v>3887.4500659999999</v>
      </c>
      <c r="I424">
        <v>144</v>
      </c>
      <c r="J424">
        <v>0</v>
      </c>
      <c r="K424" s="2">
        <f t="shared" si="12"/>
        <v>56152.056508888891</v>
      </c>
      <c r="L424" s="2">
        <v>54253.056000000004</v>
      </c>
      <c r="M424" s="3">
        <f t="shared" si="13"/>
        <v>3.500264591341895E-2</v>
      </c>
    </row>
    <row r="425" spans="1:13" x14ac:dyDescent="0.25">
      <c r="A425" t="s">
        <v>670</v>
      </c>
      <c r="B425" t="s">
        <v>424</v>
      </c>
      <c r="C425" t="s">
        <v>263</v>
      </c>
      <c r="D425" t="s">
        <v>13</v>
      </c>
      <c r="E425" t="s">
        <v>14</v>
      </c>
      <c r="F425" s="1">
        <v>38404</v>
      </c>
      <c r="G425" t="s">
        <v>263</v>
      </c>
      <c r="H425">
        <v>3772.8653199999999</v>
      </c>
      <c r="I425">
        <v>140</v>
      </c>
      <c r="J425">
        <v>0</v>
      </c>
      <c r="K425" s="2">
        <f t="shared" si="12"/>
        <v>56053.999040000002</v>
      </c>
      <c r="L425" s="2">
        <v>54420.999371784703</v>
      </c>
      <c r="M425" s="3">
        <f t="shared" si="13"/>
        <v>3.0006793095790796E-2</v>
      </c>
    </row>
    <row r="426" spans="1:13" x14ac:dyDescent="0.25">
      <c r="A426" t="s">
        <v>727</v>
      </c>
      <c r="B426" t="s">
        <v>78</v>
      </c>
      <c r="C426" t="s">
        <v>31</v>
      </c>
      <c r="D426" t="s">
        <v>13</v>
      </c>
      <c r="E426" t="s">
        <v>14</v>
      </c>
      <c r="F426" s="1">
        <v>37354</v>
      </c>
      <c r="G426" t="s">
        <v>31</v>
      </c>
      <c r="H426">
        <v>3875.1868709999999</v>
      </c>
      <c r="I426">
        <v>143.98333333333301</v>
      </c>
      <c r="J426">
        <v>0</v>
      </c>
      <c r="K426" s="2">
        <f t="shared" si="12"/>
        <v>55981.400798796283</v>
      </c>
      <c r="L426" s="2">
        <v>54350.400000000001</v>
      </c>
      <c r="M426" s="3">
        <f t="shared" si="13"/>
        <v>3.0008993471920764E-2</v>
      </c>
    </row>
    <row r="427" spans="1:13" x14ac:dyDescent="0.25">
      <c r="A427" t="s">
        <v>167</v>
      </c>
      <c r="B427" t="s">
        <v>168</v>
      </c>
      <c r="C427" t="s">
        <v>169</v>
      </c>
      <c r="D427" t="s">
        <v>13</v>
      </c>
      <c r="E427" t="s">
        <v>14</v>
      </c>
      <c r="F427" s="1">
        <v>43164</v>
      </c>
      <c r="G427" t="s">
        <v>169</v>
      </c>
      <c r="H427">
        <v>3872.0214729999998</v>
      </c>
      <c r="I427">
        <v>144</v>
      </c>
      <c r="J427">
        <v>0</v>
      </c>
      <c r="K427" s="2">
        <f t="shared" si="12"/>
        <v>55929.199054444442</v>
      </c>
      <c r="L427" s="2">
        <v>54300.199213000007</v>
      </c>
      <c r="M427" s="3">
        <f t="shared" si="13"/>
        <v>2.9999887017991611E-2</v>
      </c>
    </row>
    <row r="428" spans="1:13" x14ac:dyDescent="0.25">
      <c r="A428" t="s">
        <v>77</v>
      </c>
      <c r="B428" t="s">
        <v>78</v>
      </c>
      <c r="C428" t="s">
        <v>79</v>
      </c>
      <c r="D428" t="s">
        <v>13</v>
      </c>
      <c r="E428" t="s">
        <v>14</v>
      </c>
      <c r="F428" s="1">
        <v>33309</v>
      </c>
      <c r="G428" t="s">
        <v>79</v>
      </c>
      <c r="H428">
        <v>4081.5362239999999</v>
      </c>
      <c r="I428">
        <v>152</v>
      </c>
      <c r="J428">
        <v>0</v>
      </c>
      <c r="K428" s="2">
        <f t="shared" si="12"/>
        <v>55852.600959999996</v>
      </c>
      <c r="L428" s="2">
        <v>54225.600000000006</v>
      </c>
      <c r="M428" s="3">
        <f t="shared" si="13"/>
        <v>3.00042961258149E-2</v>
      </c>
    </row>
    <row r="429" spans="1:13" x14ac:dyDescent="0.25">
      <c r="A429" t="s">
        <v>935</v>
      </c>
      <c r="B429" t="s">
        <v>22</v>
      </c>
      <c r="C429" t="s">
        <v>31</v>
      </c>
      <c r="D429" t="s">
        <v>13</v>
      </c>
      <c r="E429" t="s">
        <v>14</v>
      </c>
      <c r="F429" s="1">
        <v>40455</v>
      </c>
      <c r="G429" t="s">
        <v>31</v>
      </c>
      <c r="H429">
        <v>3634.7062500000002</v>
      </c>
      <c r="I429">
        <v>135.75</v>
      </c>
      <c r="J429">
        <v>0</v>
      </c>
      <c r="K429" s="2">
        <f t="shared" si="12"/>
        <v>55692</v>
      </c>
      <c r="L429" s="2">
        <v>54600</v>
      </c>
      <c r="M429" s="3">
        <f t="shared" si="13"/>
        <v>2.0000000000000018E-2</v>
      </c>
    </row>
    <row r="430" spans="1:13" x14ac:dyDescent="0.25">
      <c r="A430" t="s">
        <v>891</v>
      </c>
      <c r="B430" t="s">
        <v>19</v>
      </c>
      <c r="C430" t="s">
        <v>31</v>
      </c>
      <c r="D430" t="s">
        <v>13</v>
      </c>
      <c r="E430" t="s">
        <v>14</v>
      </c>
      <c r="F430" s="1">
        <v>44508</v>
      </c>
      <c r="G430" t="s">
        <v>31</v>
      </c>
      <c r="H430">
        <v>3801.34</v>
      </c>
      <c r="I430">
        <v>142</v>
      </c>
      <c r="J430">
        <v>0</v>
      </c>
      <c r="K430" s="2">
        <f t="shared" si="12"/>
        <v>55681.600000000006</v>
      </c>
      <c r="L430" s="2">
        <v>55681.600000000006</v>
      </c>
      <c r="M430" s="3">
        <f t="shared" si="13"/>
        <v>0</v>
      </c>
    </row>
    <row r="431" spans="1:13" x14ac:dyDescent="0.25">
      <c r="A431" t="s">
        <v>760</v>
      </c>
      <c r="B431" t="s">
        <v>33</v>
      </c>
      <c r="C431" t="s">
        <v>31</v>
      </c>
      <c r="D431" t="s">
        <v>13</v>
      </c>
      <c r="E431" t="s">
        <v>14</v>
      </c>
      <c r="F431" s="1">
        <v>44230</v>
      </c>
      <c r="G431" t="s">
        <v>31</v>
      </c>
      <c r="H431">
        <v>3557.2485649999999</v>
      </c>
      <c r="I431">
        <v>132.88333333333301</v>
      </c>
      <c r="J431">
        <v>0</v>
      </c>
      <c r="K431" s="2">
        <f t="shared" si="12"/>
        <v>55681.000992349313</v>
      </c>
      <c r="L431" s="2">
        <v>54589.000978976801</v>
      </c>
      <c r="M431" s="3">
        <f t="shared" si="13"/>
        <v>2.0004030002180428E-2</v>
      </c>
    </row>
    <row r="432" spans="1:13" x14ac:dyDescent="0.25">
      <c r="A432" t="s">
        <v>61</v>
      </c>
      <c r="B432" t="s">
        <v>62</v>
      </c>
      <c r="C432" t="s">
        <v>63</v>
      </c>
      <c r="D432" t="s">
        <v>13</v>
      </c>
      <c r="E432" t="s">
        <v>14</v>
      </c>
      <c r="F432" s="1">
        <v>44732</v>
      </c>
      <c r="G432" t="s">
        <v>63</v>
      </c>
      <c r="H432">
        <v>4053.2076740000002</v>
      </c>
      <c r="I432">
        <v>151.5</v>
      </c>
      <c r="J432">
        <v>0</v>
      </c>
      <c r="K432" s="2">
        <f t="shared" si="12"/>
        <v>55647.999748646864</v>
      </c>
      <c r="L432" s="2">
        <v>54079.999999999993</v>
      </c>
      <c r="M432" s="3">
        <f t="shared" si="13"/>
        <v>2.8994078192434714E-2</v>
      </c>
    </row>
    <row r="433" spans="1:13" x14ac:dyDescent="0.25">
      <c r="A433" t="s">
        <v>208</v>
      </c>
      <c r="B433" t="s">
        <v>209</v>
      </c>
      <c r="C433" t="s">
        <v>44</v>
      </c>
      <c r="D433" t="s">
        <v>13</v>
      </c>
      <c r="E433" t="s">
        <v>14</v>
      </c>
      <c r="F433" s="1">
        <v>44774</v>
      </c>
      <c r="G433" t="s">
        <v>44</v>
      </c>
      <c r="H433">
        <v>3471.249992</v>
      </c>
      <c r="I433">
        <v>130</v>
      </c>
      <c r="J433">
        <v>0</v>
      </c>
      <c r="K433" s="2">
        <f t="shared" si="12"/>
        <v>55539.999872</v>
      </c>
      <c r="L433" s="2">
        <v>54080</v>
      </c>
      <c r="M433" s="3">
        <f t="shared" si="13"/>
        <v>2.6997039053254346E-2</v>
      </c>
    </row>
    <row r="434" spans="1:13" x14ac:dyDescent="0.25">
      <c r="A434" t="s">
        <v>662</v>
      </c>
      <c r="B434" t="s">
        <v>242</v>
      </c>
      <c r="C434" t="s">
        <v>23</v>
      </c>
      <c r="D434" t="s">
        <v>13</v>
      </c>
      <c r="E434" t="s">
        <v>14</v>
      </c>
      <c r="F434" s="1">
        <v>32377</v>
      </c>
      <c r="G434" t="s">
        <v>23</v>
      </c>
      <c r="H434">
        <v>2974.2922720000001</v>
      </c>
      <c r="I434">
        <v>112</v>
      </c>
      <c r="J434">
        <v>0</v>
      </c>
      <c r="K434" s="2">
        <f t="shared" si="12"/>
        <v>55236.856480000009</v>
      </c>
      <c r="L434" s="2">
        <v>53627.999360000009</v>
      </c>
      <c r="M434" s="3">
        <f t="shared" si="13"/>
        <v>3.0000319594245539E-2</v>
      </c>
    </row>
    <row r="435" spans="1:13" x14ac:dyDescent="0.25">
      <c r="A435" t="s">
        <v>718</v>
      </c>
      <c r="B435" t="s">
        <v>218</v>
      </c>
      <c r="C435" t="s">
        <v>17</v>
      </c>
      <c r="D435" t="s">
        <v>13</v>
      </c>
      <c r="E435" t="s">
        <v>14</v>
      </c>
      <c r="F435" s="1">
        <v>45194</v>
      </c>
      <c r="G435" t="s">
        <v>17</v>
      </c>
      <c r="H435">
        <v>3823.5722430000001</v>
      </c>
      <c r="I435">
        <v>144</v>
      </c>
      <c r="J435">
        <v>0</v>
      </c>
      <c r="K435" s="2">
        <f t="shared" si="12"/>
        <v>55229.376843333332</v>
      </c>
      <c r="L435" s="2">
        <v>52103.375999999997</v>
      </c>
      <c r="M435" s="3">
        <f t="shared" si="13"/>
        <v>5.9996128529816062E-2</v>
      </c>
    </row>
    <row r="436" spans="1:13" x14ac:dyDescent="0.25">
      <c r="A436" t="s">
        <v>950</v>
      </c>
      <c r="B436" t="s">
        <v>99</v>
      </c>
      <c r="C436" t="s">
        <v>146</v>
      </c>
      <c r="D436" t="s">
        <v>13</v>
      </c>
      <c r="E436" t="s">
        <v>14</v>
      </c>
      <c r="F436" s="1">
        <v>44327</v>
      </c>
      <c r="G436" t="s">
        <v>146</v>
      </c>
      <c r="H436">
        <v>4034.6632260000001</v>
      </c>
      <c r="I436">
        <v>152</v>
      </c>
      <c r="J436">
        <v>0</v>
      </c>
      <c r="K436" s="2">
        <f t="shared" si="12"/>
        <v>55211.180987368425</v>
      </c>
      <c r="L436" s="2">
        <v>53603.180800000002</v>
      </c>
      <c r="M436" s="3">
        <f t="shared" si="13"/>
        <v>2.9998223302607041E-2</v>
      </c>
    </row>
    <row r="437" spans="1:13" x14ac:dyDescent="0.25">
      <c r="A437" t="s">
        <v>194</v>
      </c>
      <c r="B437" t="s">
        <v>22</v>
      </c>
      <c r="C437" t="s">
        <v>31</v>
      </c>
      <c r="D437" t="s">
        <v>13</v>
      </c>
      <c r="E437" t="s">
        <v>14</v>
      </c>
      <c r="F437" s="1">
        <v>39496</v>
      </c>
      <c r="G437" t="s">
        <v>31</v>
      </c>
      <c r="H437">
        <v>4031.069184</v>
      </c>
      <c r="I437">
        <v>152</v>
      </c>
      <c r="J437">
        <v>0</v>
      </c>
      <c r="K437" s="2">
        <f t="shared" si="12"/>
        <v>55161.999360000002</v>
      </c>
      <c r="L437" s="2">
        <v>54080</v>
      </c>
      <c r="M437" s="3">
        <f t="shared" si="13"/>
        <v>2.0007384615384538E-2</v>
      </c>
    </row>
    <row r="438" spans="1:13" x14ac:dyDescent="0.25">
      <c r="A438" t="s">
        <v>341</v>
      </c>
      <c r="B438" t="s">
        <v>168</v>
      </c>
      <c r="C438" t="s">
        <v>342</v>
      </c>
      <c r="D438" t="s">
        <v>13</v>
      </c>
      <c r="E438" t="s">
        <v>14</v>
      </c>
      <c r="F438" s="1">
        <v>38684</v>
      </c>
      <c r="G438" t="s">
        <v>342</v>
      </c>
      <c r="H438">
        <v>3712.030143</v>
      </c>
      <c r="I438">
        <v>140.11666666666599</v>
      </c>
      <c r="J438">
        <v>0</v>
      </c>
      <c r="K438" s="2">
        <f t="shared" si="12"/>
        <v>55104.241922969217</v>
      </c>
      <c r="L438" s="2">
        <v>53499.249448012873</v>
      </c>
      <c r="M438" s="3">
        <f t="shared" si="13"/>
        <v>3.0000280219182773E-2</v>
      </c>
    </row>
    <row r="439" spans="1:13" x14ac:dyDescent="0.25">
      <c r="A439" t="s">
        <v>122</v>
      </c>
      <c r="B439" t="s">
        <v>38</v>
      </c>
      <c r="C439" t="s">
        <v>17</v>
      </c>
      <c r="D439" t="s">
        <v>13</v>
      </c>
      <c r="E439" t="s">
        <v>14</v>
      </c>
      <c r="F439" s="1">
        <v>45334</v>
      </c>
      <c r="G439" t="s">
        <v>17</v>
      </c>
      <c r="H439">
        <v>4025.895411</v>
      </c>
      <c r="I439">
        <v>152</v>
      </c>
      <c r="J439">
        <v>0</v>
      </c>
      <c r="K439" s="2">
        <f t="shared" si="12"/>
        <v>55091.20036105263</v>
      </c>
      <c r="L439" s="2">
        <v>53747.199999999997</v>
      </c>
      <c r="M439" s="3">
        <f t="shared" si="13"/>
        <v>2.5005960516131687E-2</v>
      </c>
    </row>
    <row r="440" spans="1:13" x14ac:dyDescent="0.25">
      <c r="A440" t="s">
        <v>663</v>
      </c>
      <c r="B440" t="s">
        <v>337</v>
      </c>
      <c r="C440" t="s">
        <v>23</v>
      </c>
      <c r="D440" t="s">
        <v>13</v>
      </c>
      <c r="E440" t="s">
        <v>14</v>
      </c>
      <c r="F440" s="1">
        <v>34337</v>
      </c>
      <c r="G440" t="s">
        <v>23</v>
      </c>
      <c r="H440">
        <v>3563.8529079999998</v>
      </c>
      <c r="I440">
        <v>134.75</v>
      </c>
      <c r="J440">
        <v>0</v>
      </c>
      <c r="K440" s="2">
        <f t="shared" si="12"/>
        <v>55011.607040000003</v>
      </c>
      <c r="L440" s="2">
        <v>53664.599040000001</v>
      </c>
      <c r="M440" s="3">
        <f t="shared" si="13"/>
        <v>2.5100495002226442E-2</v>
      </c>
    </row>
    <row r="441" spans="1:13" x14ac:dyDescent="0.25">
      <c r="A441" t="s">
        <v>630</v>
      </c>
      <c r="B441" t="s">
        <v>631</v>
      </c>
      <c r="C441" t="s">
        <v>12</v>
      </c>
      <c r="D441" t="s">
        <v>13</v>
      </c>
      <c r="E441" t="s">
        <v>14</v>
      </c>
      <c r="F441" s="1">
        <v>35432</v>
      </c>
      <c r="G441" t="s">
        <v>12</v>
      </c>
      <c r="H441">
        <v>3762.6591779999999</v>
      </c>
      <c r="I441">
        <v>142.75</v>
      </c>
      <c r="J441">
        <v>0</v>
      </c>
      <c r="K441" s="2">
        <f t="shared" si="12"/>
        <v>54825.436709211906</v>
      </c>
      <c r="L441" s="2">
        <v>53099.789640059258</v>
      </c>
      <c r="M441" s="3">
        <f t="shared" si="13"/>
        <v>3.2498190310170205E-2</v>
      </c>
    </row>
    <row r="442" spans="1:13" x14ac:dyDescent="0.25">
      <c r="A442" t="s">
        <v>123</v>
      </c>
      <c r="B442" t="s">
        <v>124</v>
      </c>
      <c r="C442" t="s">
        <v>125</v>
      </c>
      <c r="D442" t="s">
        <v>13</v>
      </c>
      <c r="E442" t="s">
        <v>14</v>
      </c>
      <c r="F442" s="1">
        <v>39664</v>
      </c>
      <c r="G442" t="s">
        <v>125</v>
      </c>
      <c r="H442">
        <v>2946.295744</v>
      </c>
      <c r="I442">
        <v>112</v>
      </c>
      <c r="J442">
        <v>0</v>
      </c>
      <c r="K442" s="2">
        <f t="shared" si="12"/>
        <v>54716.920960000003</v>
      </c>
      <c r="L442" s="2">
        <v>53016.920319999997</v>
      </c>
      <c r="M442" s="3">
        <f t="shared" si="13"/>
        <v>3.2065246901161526E-2</v>
      </c>
    </row>
    <row r="443" spans="1:13" x14ac:dyDescent="0.25">
      <c r="A443" t="s">
        <v>887</v>
      </c>
      <c r="B443" t="s">
        <v>22</v>
      </c>
      <c r="C443" t="s">
        <v>31</v>
      </c>
      <c r="D443" t="s">
        <v>13</v>
      </c>
      <c r="E443" t="s">
        <v>14</v>
      </c>
      <c r="F443" s="1">
        <v>41050</v>
      </c>
      <c r="G443" t="s">
        <v>31</v>
      </c>
      <c r="H443">
        <v>3782.1461760000002</v>
      </c>
      <c r="I443">
        <v>144</v>
      </c>
      <c r="J443">
        <v>0</v>
      </c>
      <c r="K443" s="2">
        <f t="shared" si="12"/>
        <v>54631.000320000006</v>
      </c>
      <c r="L443" s="2">
        <v>53040</v>
      </c>
      <c r="M443" s="3">
        <f t="shared" si="13"/>
        <v>2.9996235294117879E-2</v>
      </c>
    </row>
    <row r="444" spans="1:13" x14ac:dyDescent="0.25">
      <c r="A444" t="s">
        <v>876</v>
      </c>
      <c r="B444" t="s">
        <v>557</v>
      </c>
      <c r="C444" t="s">
        <v>877</v>
      </c>
      <c r="D444" t="s">
        <v>13</v>
      </c>
      <c r="E444" t="s">
        <v>14</v>
      </c>
      <c r="F444" s="1">
        <v>39699</v>
      </c>
      <c r="G444" t="s">
        <v>877</v>
      </c>
      <c r="H444">
        <v>3045.7556239999999</v>
      </c>
      <c r="I444">
        <v>116</v>
      </c>
      <c r="J444">
        <v>0</v>
      </c>
      <c r="K444" s="2">
        <f t="shared" si="12"/>
        <v>54613.549119999996</v>
      </c>
      <c r="L444" s="2">
        <v>53281.5504</v>
      </c>
      <c r="M444" s="3">
        <f t="shared" si="13"/>
        <v>2.4999248520365835E-2</v>
      </c>
    </row>
    <row r="445" spans="1:13" x14ac:dyDescent="0.25">
      <c r="A445" t="s">
        <v>693</v>
      </c>
      <c r="B445" t="s">
        <v>70</v>
      </c>
      <c r="C445" t="s">
        <v>12</v>
      </c>
      <c r="D445" t="s">
        <v>13</v>
      </c>
      <c r="E445" t="s">
        <v>14</v>
      </c>
      <c r="F445" s="1">
        <v>31909</v>
      </c>
      <c r="G445" t="s">
        <v>12</v>
      </c>
      <c r="H445">
        <v>3982.4607999999998</v>
      </c>
      <c r="I445">
        <v>152</v>
      </c>
      <c r="J445">
        <v>0</v>
      </c>
      <c r="K445" s="2">
        <f t="shared" si="12"/>
        <v>54496.831999999995</v>
      </c>
      <c r="L445" s="2">
        <v>52832.832000000002</v>
      </c>
      <c r="M445" s="3">
        <f t="shared" si="13"/>
        <v>3.1495566998944735E-2</v>
      </c>
    </row>
    <row r="446" spans="1:13" x14ac:dyDescent="0.25">
      <c r="A446" t="s">
        <v>802</v>
      </c>
      <c r="B446" t="s">
        <v>19</v>
      </c>
      <c r="C446" t="s">
        <v>20</v>
      </c>
      <c r="D446" t="s">
        <v>13</v>
      </c>
      <c r="E446" t="s">
        <v>14</v>
      </c>
      <c r="F446" s="1">
        <v>44564</v>
      </c>
      <c r="G446" t="s">
        <v>20</v>
      </c>
      <c r="H446">
        <v>3713.3</v>
      </c>
      <c r="I446">
        <v>142</v>
      </c>
      <c r="J446">
        <v>0</v>
      </c>
      <c r="K446" s="2">
        <f t="shared" si="12"/>
        <v>54392</v>
      </c>
      <c r="L446" s="2">
        <v>54392</v>
      </c>
      <c r="M446" s="3">
        <f t="shared" si="13"/>
        <v>0</v>
      </c>
    </row>
    <row r="447" spans="1:13" x14ac:dyDescent="0.25">
      <c r="A447" t="s">
        <v>30</v>
      </c>
      <c r="B447" t="s">
        <v>22</v>
      </c>
      <c r="C447" t="s">
        <v>31</v>
      </c>
      <c r="D447" t="s">
        <v>13</v>
      </c>
      <c r="E447" t="s">
        <v>14</v>
      </c>
      <c r="F447" s="1">
        <v>42723</v>
      </c>
      <c r="G447" t="s">
        <v>31</v>
      </c>
      <c r="H447">
        <v>3972.9</v>
      </c>
      <c r="I447">
        <v>152</v>
      </c>
      <c r="J447">
        <v>0</v>
      </c>
      <c r="K447" s="2">
        <f t="shared" si="12"/>
        <v>54366</v>
      </c>
      <c r="L447" s="2">
        <v>53040</v>
      </c>
      <c r="M447" s="3">
        <f t="shared" si="13"/>
        <v>2.4999999999999911E-2</v>
      </c>
    </row>
    <row r="448" spans="1:13" x14ac:dyDescent="0.25">
      <c r="A448" t="s">
        <v>427</v>
      </c>
      <c r="B448" t="s">
        <v>189</v>
      </c>
      <c r="C448" t="s">
        <v>12</v>
      </c>
      <c r="D448" t="s">
        <v>13</v>
      </c>
      <c r="E448" t="s">
        <v>14</v>
      </c>
      <c r="F448" s="1">
        <v>43781</v>
      </c>
      <c r="G448" t="s">
        <v>12</v>
      </c>
      <c r="H448">
        <v>3864.4365899999998</v>
      </c>
      <c r="I448">
        <v>148</v>
      </c>
      <c r="J448">
        <v>0</v>
      </c>
      <c r="K448" s="2">
        <f t="shared" si="12"/>
        <v>54311.000724324324</v>
      </c>
      <c r="L448" s="2">
        <v>51480</v>
      </c>
      <c r="M448" s="3">
        <f t="shared" si="13"/>
        <v>5.4992244062244122E-2</v>
      </c>
    </row>
    <row r="449" spans="1:13" x14ac:dyDescent="0.25">
      <c r="A449" t="s">
        <v>405</v>
      </c>
      <c r="B449" t="s">
        <v>78</v>
      </c>
      <c r="C449" t="s">
        <v>31</v>
      </c>
      <c r="D449" t="s">
        <v>13</v>
      </c>
      <c r="E449" t="s">
        <v>14</v>
      </c>
      <c r="F449" s="1">
        <v>45789</v>
      </c>
      <c r="G449" t="s">
        <v>31</v>
      </c>
      <c r="H449">
        <v>3952</v>
      </c>
      <c r="I449">
        <v>152</v>
      </c>
      <c r="J449">
        <v>0</v>
      </c>
      <c r="K449" s="2">
        <f t="shared" si="12"/>
        <v>54080</v>
      </c>
      <c r="L449" s="2">
        <v>54080.000000000007</v>
      </c>
      <c r="M449" s="3">
        <f t="shared" si="13"/>
        <v>-1.1102230246251565E-16</v>
      </c>
    </row>
    <row r="450" spans="1:13" x14ac:dyDescent="0.25">
      <c r="A450" t="s">
        <v>847</v>
      </c>
      <c r="B450" t="s">
        <v>38</v>
      </c>
      <c r="C450" t="s">
        <v>17</v>
      </c>
      <c r="D450" t="s">
        <v>13</v>
      </c>
      <c r="E450" t="s">
        <v>14</v>
      </c>
      <c r="F450" s="1">
        <v>44732</v>
      </c>
      <c r="G450" t="s">
        <v>17</v>
      </c>
      <c r="H450">
        <v>2833.4759279999998</v>
      </c>
      <c r="I450">
        <v>109</v>
      </c>
      <c r="J450">
        <v>0</v>
      </c>
      <c r="K450" s="2">
        <f t="shared" ref="K450:K513" si="14">(2080/I450)*H450</f>
        <v>54069.999359999994</v>
      </c>
      <c r="L450" s="2">
        <v>52241.999737300277</v>
      </c>
      <c r="M450" s="3">
        <f t="shared" si="13"/>
        <v>3.4990996361009108E-2</v>
      </c>
    </row>
    <row r="451" spans="1:13" x14ac:dyDescent="0.25">
      <c r="A451" t="s">
        <v>454</v>
      </c>
      <c r="B451" t="s">
        <v>420</v>
      </c>
      <c r="C451" t="s">
        <v>23</v>
      </c>
      <c r="D451" t="s">
        <v>13</v>
      </c>
      <c r="E451" t="s">
        <v>14</v>
      </c>
      <c r="F451" s="1">
        <v>44923</v>
      </c>
      <c r="G451" t="s">
        <v>23</v>
      </c>
      <c r="H451">
        <v>3883.8300020000001</v>
      </c>
      <c r="I451">
        <v>149.5</v>
      </c>
      <c r="J451">
        <v>0</v>
      </c>
      <c r="K451" s="2">
        <f t="shared" si="14"/>
        <v>54035.895680000001</v>
      </c>
      <c r="L451" s="2">
        <v>52589.600971818181</v>
      </c>
      <c r="M451" s="3">
        <f t="shared" ref="M451:M514" si="15">IFERROR((K451/L451)-1,0)</f>
        <v>2.7501534171306297E-2</v>
      </c>
    </row>
    <row r="452" spans="1:13" x14ac:dyDescent="0.25">
      <c r="A452" t="s">
        <v>468</v>
      </c>
      <c r="B452" t="s">
        <v>420</v>
      </c>
      <c r="C452" t="s">
        <v>169</v>
      </c>
      <c r="D452" t="s">
        <v>13</v>
      </c>
      <c r="E452" t="s">
        <v>14</v>
      </c>
      <c r="F452" s="1">
        <v>36913</v>
      </c>
      <c r="G452" t="s">
        <v>169</v>
      </c>
      <c r="H452">
        <v>2825.1959609999999</v>
      </c>
      <c r="I452">
        <v>109</v>
      </c>
      <c r="J452">
        <v>0</v>
      </c>
      <c r="K452" s="2">
        <f t="shared" si="14"/>
        <v>53911.996319999998</v>
      </c>
      <c r="L452" s="2">
        <v>52341.800171304349</v>
      </c>
      <c r="M452" s="3">
        <f t="shared" si="15"/>
        <v>2.9998894641695806E-2</v>
      </c>
    </row>
    <row r="453" spans="1:13" x14ac:dyDescent="0.25">
      <c r="A453" t="s">
        <v>614</v>
      </c>
      <c r="B453" t="s">
        <v>33</v>
      </c>
      <c r="C453" t="s">
        <v>31</v>
      </c>
      <c r="D453" t="s">
        <v>13</v>
      </c>
      <c r="E453" t="s">
        <v>14</v>
      </c>
      <c r="F453" s="1">
        <v>44704</v>
      </c>
      <c r="G453" t="s">
        <v>31</v>
      </c>
      <c r="H453">
        <v>3724.0396689999998</v>
      </c>
      <c r="I453">
        <v>143.933333333333</v>
      </c>
      <c r="J453">
        <v>0</v>
      </c>
      <c r="K453" s="2">
        <f t="shared" si="14"/>
        <v>53816.599200000121</v>
      </c>
      <c r="L453" s="2">
        <v>52249.600003656684</v>
      </c>
      <c r="M453" s="3">
        <f t="shared" si="15"/>
        <v>2.9990644832377011E-2</v>
      </c>
    </row>
    <row r="454" spans="1:13" x14ac:dyDescent="0.25">
      <c r="A454" t="s">
        <v>279</v>
      </c>
      <c r="B454" t="s">
        <v>213</v>
      </c>
      <c r="C454" t="s">
        <v>12</v>
      </c>
      <c r="D454" t="s">
        <v>13</v>
      </c>
      <c r="E454" t="s">
        <v>14</v>
      </c>
      <c r="F454" s="1">
        <v>43444</v>
      </c>
      <c r="G454" t="s">
        <v>12</v>
      </c>
      <c r="H454">
        <v>3589.8487500000001</v>
      </c>
      <c r="I454">
        <v>139</v>
      </c>
      <c r="J454">
        <v>0</v>
      </c>
      <c r="K454" s="2">
        <f t="shared" si="14"/>
        <v>53718.6</v>
      </c>
      <c r="L454" s="2">
        <v>52193.600178516324</v>
      </c>
      <c r="M454" s="3">
        <f t="shared" si="15"/>
        <v>2.9218138167663499E-2</v>
      </c>
    </row>
    <row r="455" spans="1:13" x14ac:dyDescent="0.25">
      <c r="A455" t="s">
        <v>888</v>
      </c>
      <c r="B455" t="s">
        <v>420</v>
      </c>
      <c r="C455" t="s">
        <v>23</v>
      </c>
      <c r="D455" t="s">
        <v>13</v>
      </c>
      <c r="E455" t="s">
        <v>14</v>
      </c>
      <c r="F455" s="1">
        <v>43752</v>
      </c>
      <c r="G455" t="s">
        <v>23</v>
      </c>
      <c r="H455">
        <v>3809.2299800000001</v>
      </c>
      <c r="I455">
        <v>147.5</v>
      </c>
      <c r="J455">
        <v>0</v>
      </c>
      <c r="K455" s="2">
        <f t="shared" si="14"/>
        <v>53716.599040000001</v>
      </c>
      <c r="L455" s="2">
        <v>52101.599696313722</v>
      </c>
      <c r="M455" s="3">
        <f t="shared" si="15"/>
        <v>3.0997116270895297E-2</v>
      </c>
    </row>
    <row r="456" spans="1:13" x14ac:dyDescent="0.25">
      <c r="A456" t="s">
        <v>482</v>
      </c>
      <c r="B456" t="s">
        <v>218</v>
      </c>
      <c r="C456" t="s">
        <v>17</v>
      </c>
      <c r="D456" t="s">
        <v>13</v>
      </c>
      <c r="E456" t="s">
        <v>14</v>
      </c>
      <c r="F456" s="1">
        <v>44907</v>
      </c>
      <c r="G456" t="s">
        <v>17</v>
      </c>
      <c r="H456">
        <v>3302.5461789999999</v>
      </c>
      <c r="I456">
        <v>128</v>
      </c>
      <c r="J456">
        <v>0</v>
      </c>
      <c r="K456" s="2">
        <f t="shared" si="14"/>
        <v>53666.375408749998</v>
      </c>
      <c r="L456" s="2">
        <v>52103.376000000004</v>
      </c>
      <c r="M456" s="3">
        <f t="shared" si="15"/>
        <v>2.9998044824389059E-2</v>
      </c>
    </row>
    <row r="457" spans="1:13" x14ac:dyDescent="0.25">
      <c r="A457" t="s">
        <v>539</v>
      </c>
      <c r="B457" t="s">
        <v>437</v>
      </c>
      <c r="C457" t="s">
        <v>12</v>
      </c>
      <c r="D457" t="s">
        <v>13</v>
      </c>
      <c r="E457" t="s">
        <v>14</v>
      </c>
      <c r="F457" s="1">
        <v>39062</v>
      </c>
      <c r="G457" t="s">
        <v>12</v>
      </c>
      <c r="H457">
        <v>3605</v>
      </c>
      <c r="I457">
        <v>140</v>
      </c>
      <c r="J457">
        <v>0</v>
      </c>
      <c r="K457" s="2">
        <f t="shared" si="14"/>
        <v>53560</v>
      </c>
      <c r="L457" s="2">
        <v>52000</v>
      </c>
      <c r="M457" s="3">
        <f t="shared" si="15"/>
        <v>3.0000000000000027E-2</v>
      </c>
    </row>
    <row r="458" spans="1:13" x14ac:dyDescent="0.25">
      <c r="A458" t="s">
        <v>754</v>
      </c>
      <c r="B458" t="s">
        <v>145</v>
      </c>
      <c r="C458" t="s">
        <v>41</v>
      </c>
      <c r="D458" t="s">
        <v>13</v>
      </c>
      <c r="E458" t="s">
        <v>14</v>
      </c>
      <c r="F458" s="1">
        <v>42471</v>
      </c>
      <c r="G458" t="s">
        <v>41</v>
      </c>
      <c r="H458">
        <v>3418.3125</v>
      </c>
      <c r="I458">
        <v>132.75</v>
      </c>
      <c r="J458">
        <v>0</v>
      </c>
      <c r="K458" s="2">
        <f t="shared" si="14"/>
        <v>53560</v>
      </c>
      <c r="L458" s="2">
        <v>52000.000000000007</v>
      </c>
      <c r="M458" s="3">
        <f t="shared" si="15"/>
        <v>2.9999999999999805E-2</v>
      </c>
    </row>
    <row r="459" spans="1:13" x14ac:dyDescent="0.25">
      <c r="A459" t="s">
        <v>915</v>
      </c>
      <c r="B459" t="s">
        <v>437</v>
      </c>
      <c r="C459" t="s">
        <v>169</v>
      </c>
      <c r="D459" t="s">
        <v>13</v>
      </c>
      <c r="E459" t="s">
        <v>14</v>
      </c>
      <c r="F459" s="1">
        <v>43626</v>
      </c>
      <c r="G459" t="s">
        <v>169</v>
      </c>
      <c r="H459">
        <v>3704.3030899999999</v>
      </c>
      <c r="I459">
        <v>144</v>
      </c>
      <c r="J459">
        <v>0</v>
      </c>
      <c r="K459" s="2">
        <f t="shared" si="14"/>
        <v>53506.600188888886</v>
      </c>
      <c r="L459" s="2">
        <v>52457.600000000006</v>
      </c>
      <c r="M459" s="3">
        <f t="shared" si="15"/>
        <v>1.9997106022556776E-2</v>
      </c>
    </row>
    <row r="460" spans="1:13" x14ac:dyDescent="0.25">
      <c r="A460" t="s">
        <v>248</v>
      </c>
      <c r="B460" t="s">
        <v>249</v>
      </c>
      <c r="C460" t="s">
        <v>250</v>
      </c>
      <c r="D460" t="s">
        <v>13</v>
      </c>
      <c r="E460" t="s">
        <v>14</v>
      </c>
      <c r="F460" s="1">
        <v>44837</v>
      </c>
      <c r="G460" t="s">
        <v>250</v>
      </c>
      <c r="H460">
        <v>3032.4298439999998</v>
      </c>
      <c r="I460">
        <v>118</v>
      </c>
      <c r="J460">
        <v>0</v>
      </c>
      <c r="K460" s="2">
        <f t="shared" si="14"/>
        <v>53453.000639999991</v>
      </c>
      <c r="L460" s="2">
        <v>51896.000000000007</v>
      </c>
      <c r="M460" s="3">
        <f t="shared" si="15"/>
        <v>3.0002324649298195E-2</v>
      </c>
    </row>
    <row r="461" spans="1:13" x14ac:dyDescent="0.25">
      <c r="A461" t="s">
        <v>959</v>
      </c>
      <c r="B461" t="s">
        <v>19</v>
      </c>
      <c r="C461" t="s">
        <v>164</v>
      </c>
      <c r="D461" t="s">
        <v>13</v>
      </c>
      <c r="E461" t="s">
        <v>14</v>
      </c>
      <c r="F461" s="1">
        <v>44446</v>
      </c>
      <c r="G461" t="s">
        <v>164</v>
      </c>
      <c r="H461">
        <v>2492.1</v>
      </c>
      <c r="I461">
        <v>97.5</v>
      </c>
      <c r="J461">
        <v>0</v>
      </c>
      <c r="K461" s="2">
        <f t="shared" si="14"/>
        <v>53164.799999999996</v>
      </c>
      <c r="L461" s="2">
        <v>53164.799999999996</v>
      </c>
      <c r="M461" s="3">
        <f t="shared" si="15"/>
        <v>0</v>
      </c>
    </row>
    <row r="462" spans="1:13" x14ac:dyDescent="0.25">
      <c r="A462" t="s">
        <v>323</v>
      </c>
      <c r="B462" t="s">
        <v>102</v>
      </c>
      <c r="C462" t="s">
        <v>263</v>
      </c>
      <c r="D462" t="s">
        <v>13</v>
      </c>
      <c r="E462" t="s">
        <v>14</v>
      </c>
      <c r="F462" s="1">
        <v>44321</v>
      </c>
      <c r="G462" t="s">
        <v>263</v>
      </c>
      <c r="H462">
        <v>3507.1755130000001</v>
      </c>
      <c r="I462">
        <v>137.5</v>
      </c>
      <c r="J462">
        <v>0</v>
      </c>
      <c r="K462" s="2">
        <f t="shared" si="14"/>
        <v>53054.000487563637</v>
      </c>
      <c r="L462" s="2">
        <v>51886.999842975682</v>
      </c>
      <c r="M462" s="3">
        <f t="shared" si="15"/>
        <v>2.2491195253524499E-2</v>
      </c>
    </row>
    <row r="463" spans="1:13" x14ac:dyDescent="0.25">
      <c r="A463" t="s">
        <v>376</v>
      </c>
      <c r="B463" t="s">
        <v>135</v>
      </c>
      <c r="C463" t="s">
        <v>106</v>
      </c>
      <c r="D463" t="s">
        <v>13</v>
      </c>
      <c r="E463" t="s">
        <v>14</v>
      </c>
      <c r="F463" s="1">
        <v>45789</v>
      </c>
      <c r="G463" t="s">
        <v>106</v>
      </c>
      <c r="H463">
        <v>3876</v>
      </c>
      <c r="I463">
        <v>152</v>
      </c>
      <c r="J463">
        <v>0</v>
      </c>
      <c r="K463" s="2">
        <f t="shared" si="14"/>
        <v>53040</v>
      </c>
      <c r="L463" s="2">
        <v>53040</v>
      </c>
      <c r="M463" s="3">
        <f t="shared" si="15"/>
        <v>0</v>
      </c>
    </row>
    <row r="464" spans="1:13" x14ac:dyDescent="0.25">
      <c r="A464" t="s">
        <v>1007</v>
      </c>
      <c r="B464" t="s">
        <v>295</v>
      </c>
      <c r="C464" t="s">
        <v>17</v>
      </c>
      <c r="D464" t="s">
        <v>13</v>
      </c>
      <c r="E464" t="s">
        <v>14</v>
      </c>
      <c r="F464" s="1">
        <v>45348</v>
      </c>
      <c r="G464" t="s">
        <v>17</v>
      </c>
      <c r="H464">
        <v>3774</v>
      </c>
      <c r="I464">
        <v>148</v>
      </c>
      <c r="J464">
        <v>0</v>
      </c>
      <c r="K464" s="2">
        <f t="shared" si="14"/>
        <v>53040</v>
      </c>
      <c r="L464" s="2">
        <v>52000</v>
      </c>
      <c r="M464" s="3">
        <f t="shared" si="15"/>
        <v>2.0000000000000018E-2</v>
      </c>
    </row>
    <row r="465" spans="1:13" x14ac:dyDescent="0.25">
      <c r="A465" t="s">
        <v>442</v>
      </c>
      <c r="B465" t="s">
        <v>443</v>
      </c>
      <c r="C465" t="s">
        <v>41</v>
      </c>
      <c r="D465" t="s">
        <v>13</v>
      </c>
      <c r="E465" t="s">
        <v>14</v>
      </c>
      <c r="F465" s="1">
        <v>43709</v>
      </c>
      <c r="G465" t="s">
        <v>41</v>
      </c>
      <c r="H465">
        <v>3663.484563</v>
      </c>
      <c r="I465">
        <v>144</v>
      </c>
      <c r="J465">
        <v>0</v>
      </c>
      <c r="K465" s="2">
        <f t="shared" si="14"/>
        <v>52916.999243333332</v>
      </c>
      <c r="L465" s="2">
        <v>51376.000000000007</v>
      </c>
      <c r="M465" s="3">
        <f t="shared" si="15"/>
        <v>2.999453525641016E-2</v>
      </c>
    </row>
    <row r="466" spans="1:13" x14ac:dyDescent="0.25">
      <c r="A466" t="s">
        <v>981</v>
      </c>
      <c r="B466" t="s">
        <v>33</v>
      </c>
      <c r="C466" t="s">
        <v>31</v>
      </c>
      <c r="D466" t="s">
        <v>13</v>
      </c>
      <c r="E466" t="s">
        <v>14</v>
      </c>
      <c r="F466" s="1">
        <v>44753</v>
      </c>
      <c r="G466" t="s">
        <v>31</v>
      </c>
      <c r="H466">
        <v>3459.5</v>
      </c>
      <c r="I466">
        <v>136</v>
      </c>
      <c r="J466">
        <v>0</v>
      </c>
      <c r="K466" s="2">
        <f t="shared" si="14"/>
        <v>52910</v>
      </c>
      <c r="L466" s="2">
        <v>51369.000832500002</v>
      </c>
      <c r="M466" s="3">
        <f t="shared" si="15"/>
        <v>2.999862061800207E-2</v>
      </c>
    </row>
    <row r="467" spans="1:13" x14ac:dyDescent="0.25">
      <c r="A467" t="s">
        <v>698</v>
      </c>
      <c r="B467" t="s">
        <v>70</v>
      </c>
      <c r="C467" t="s">
        <v>12</v>
      </c>
      <c r="D467" t="s">
        <v>13</v>
      </c>
      <c r="E467" t="s">
        <v>14</v>
      </c>
      <c r="F467" s="1">
        <v>37424</v>
      </c>
      <c r="G467" t="s">
        <v>12</v>
      </c>
      <c r="H467">
        <v>1015.84076</v>
      </c>
      <c r="I467">
        <v>40</v>
      </c>
      <c r="J467">
        <v>0</v>
      </c>
      <c r="K467" s="2">
        <f t="shared" si="14"/>
        <v>52823.719519999999</v>
      </c>
      <c r="L467" s="2">
        <v>51160.72</v>
      </c>
      <c r="M467" s="3">
        <f t="shared" si="15"/>
        <v>3.2505397109344747E-2</v>
      </c>
    </row>
    <row r="468" spans="1:13" x14ac:dyDescent="0.25">
      <c r="A468" t="s">
        <v>340</v>
      </c>
      <c r="B468" t="s">
        <v>97</v>
      </c>
      <c r="C468" t="s">
        <v>169</v>
      </c>
      <c r="D468" t="s">
        <v>13</v>
      </c>
      <c r="E468" t="s">
        <v>14</v>
      </c>
      <c r="F468" s="1">
        <v>44103</v>
      </c>
      <c r="G468" t="s">
        <v>169</v>
      </c>
      <c r="H468">
        <v>2988.232</v>
      </c>
      <c r="I468">
        <v>118</v>
      </c>
      <c r="J468">
        <v>0</v>
      </c>
      <c r="K468" s="2">
        <f t="shared" si="14"/>
        <v>52673.919999999998</v>
      </c>
      <c r="L468" s="2">
        <v>50648.000000000007</v>
      </c>
      <c r="M468" s="3">
        <f t="shared" si="15"/>
        <v>3.9999999999999813E-2</v>
      </c>
    </row>
    <row r="469" spans="1:13" x14ac:dyDescent="0.25">
      <c r="A469" t="s">
        <v>444</v>
      </c>
      <c r="B469" t="s">
        <v>189</v>
      </c>
      <c r="C469" t="s">
        <v>31</v>
      </c>
      <c r="D469" t="s">
        <v>13</v>
      </c>
      <c r="E469" t="s">
        <v>14</v>
      </c>
      <c r="F469" s="1">
        <v>43724</v>
      </c>
      <c r="G469" t="s">
        <v>31</v>
      </c>
      <c r="H469">
        <v>3747.3884159999998</v>
      </c>
      <c r="I469">
        <v>148</v>
      </c>
      <c r="J469">
        <v>0</v>
      </c>
      <c r="K469" s="2">
        <f t="shared" si="14"/>
        <v>52665.999360000002</v>
      </c>
      <c r="L469" s="2">
        <v>49920</v>
      </c>
      <c r="M469" s="3">
        <f t="shared" si="15"/>
        <v>5.5007999999999946E-2</v>
      </c>
    </row>
    <row r="470" spans="1:13" x14ac:dyDescent="0.25">
      <c r="A470" t="s">
        <v>617</v>
      </c>
      <c r="B470" t="s">
        <v>145</v>
      </c>
      <c r="C470" t="s">
        <v>41</v>
      </c>
      <c r="D470" t="s">
        <v>13</v>
      </c>
      <c r="E470" t="s">
        <v>14</v>
      </c>
      <c r="F470" s="1">
        <v>43640</v>
      </c>
      <c r="G470" t="s">
        <v>41</v>
      </c>
      <c r="H470">
        <v>3702.0831280000002</v>
      </c>
      <c r="I470">
        <v>146.5</v>
      </c>
      <c r="J470">
        <v>0</v>
      </c>
      <c r="K470" s="2">
        <f t="shared" si="14"/>
        <v>52561.999360000002</v>
      </c>
      <c r="L470" s="2">
        <v>51031.000813684208</v>
      </c>
      <c r="M470" s="3">
        <f t="shared" si="15"/>
        <v>3.0001342750566762E-2</v>
      </c>
    </row>
    <row r="471" spans="1:13" x14ac:dyDescent="0.25">
      <c r="A471" t="s">
        <v>364</v>
      </c>
      <c r="B471" t="s">
        <v>318</v>
      </c>
      <c r="C471" t="s">
        <v>12</v>
      </c>
      <c r="D471" t="s">
        <v>13</v>
      </c>
      <c r="E471" t="s">
        <v>14</v>
      </c>
      <c r="F471" s="1">
        <v>43451</v>
      </c>
      <c r="G471" t="s">
        <v>12</v>
      </c>
      <c r="H471">
        <v>3637.38456</v>
      </c>
      <c r="I471">
        <v>144</v>
      </c>
      <c r="J471">
        <v>0</v>
      </c>
      <c r="K471" s="2">
        <f t="shared" si="14"/>
        <v>52539.999199999998</v>
      </c>
      <c r="L471" s="2">
        <v>50960</v>
      </c>
      <c r="M471" s="3">
        <f t="shared" si="15"/>
        <v>3.1004693877551004E-2</v>
      </c>
    </row>
    <row r="472" spans="1:13" x14ac:dyDescent="0.25">
      <c r="A472" t="s">
        <v>953</v>
      </c>
      <c r="B472" t="s">
        <v>97</v>
      </c>
      <c r="C472" t="s">
        <v>169</v>
      </c>
      <c r="D472" t="s">
        <v>13</v>
      </c>
      <c r="E472" t="s">
        <v>14</v>
      </c>
      <c r="F472" s="1">
        <v>43206</v>
      </c>
      <c r="G472" t="s">
        <v>169</v>
      </c>
      <c r="H472">
        <v>3624.2305470000001</v>
      </c>
      <c r="I472">
        <v>143.5</v>
      </c>
      <c r="J472">
        <v>0</v>
      </c>
      <c r="K472" s="2">
        <f t="shared" si="14"/>
        <v>52532.400959999999</v>
      </c>
      <c r="L472" s="2">
        <v>50633.400485430808</v>
      </c>
      <c r="M472" s="3">
        <f t="shared" si="15"/>
        <v>3.7504897090915534E-2</v>
      </c>
    </row>
    <row r="473" spans="1:13" x14ac:dyDescent="0.25">
      <c r="A473" t="s">
        <v>917</v>
      </c>
      <c r="B473" t="s">
        <v>260</v>
      </c>
      <c r="C473" t="s">
        <v>17</v>
      </c>
      <c r="D473" t="s">
        <v>13</v>
      </c>
      <c r="E473" t="s">
        <v>14</v>
      </c>
      <c r="F473" s="1">
        <v>43613</v>
      </c>
      <c r="G473" t="s">
        <v>17</v>
      </c>
      <c r="H473">
        <v>3633.8538239999998</v>
      </c>
      <c r="I473">
        <v>144</v>
      </c>
      <c r="J473">
        <v>0</v>
      </c>
      <c r="K473" s="2">
        <f t="shared" si="14"/>
        <v>52488.999680000001</v>
      </c>
      <c r="L473" s="2">
        <v>50960.000000000007</v>
      </c>
      <c r="M473" s="3">
        <f t="shared" si="15"/>
        <v>3.0003918367346838E-2</v>
      </c>
    </row>
    <row r="474" spans="1:13" x14ac:dyDescent="0.25">
      <c r="A474" t="s">
        <v>790</v>
      </c>
      <c r="B474" t="s">
        <v>242</v>
      </c>
      <c r="C474" t="s">
        <v>169</v>
      </c>
      <c r="D474" t="s">
        <v>13</v>
      </c>
      <c r="E474" t="s">
        <v>14</v>
      </c>
      <c r="F474" s="1">
        <v>31985</v>
      </c>
      <c r="G474" t="s">
        <v>169</v>
      </c>
      <c r="H474">
        <v>3227.931008</v>
      </c>
      <c r="I474">
        <v>128</v>
      </c>
      <c r="J474">
        <v>0</v>
      </c>
      <c r="K474" s="2">
        <f t="shared" si="14"/>
        <v>52453.878880000004</v>
      </c>
      <c r="L474" s="2">
        <v>50926.071039999995</v>
      </c>
      <c r="M474" s="3">
        <f t="shared" si="15"/>
        <v>3.0000504825907104E-2</v>
      </c>
    </row>
    <row r="475" spans="1:13" x14ac:dyDescent="0.25">
      <c r="A475" t="s">
        <v>241</v>
      </c>
      <c r="B475" t="s">
        <v>242</v>
      </c>
      <c r="C475" t="s">
        <v>169</v>
      </c>
      <c r="D475" t="s">
        <v>13</v>
      </c>
      <c r="E475" t="s">
        <v>14</v>
      </c>
      <c r="F475" s="1">
        <v>44823</v>
      </c>
      <c r="G475" t="s">
        <v>169</v>
      </c>
      <c r="H475">
        <v>3831.3519769999998</v>
      </c>
      <c r="I475">
        <v>152</v>
      </c>
      <c r="J475">
        <v>0</v>
      </c>
      <c r="K475" s="2">
        <f t="shared" si="14"/>
        <v>52429.027053684207</v>
      </c>
      <c r="L475" s="2">
        <v>50902.069911864404</v>
      </c>
      <c r="M475" s="3">
        <f t="shared" si="15"/>
        <v>2.9997938089034282E-2</v>
      </c>
    </row>
    <row r="476" spans="1:13" x14ac:dyDescent="0.25">
      <c r="A476" t="s">
        <v>422</v>
      </c>
      <c r="B476" t="s">
        <v>145</v>
      </c>
      <c r="C476" t="s">
        <v>146</v>
      </c>
      <c r="D476" t="s">
        <v>13</v>
      </c>
      <c r="E476" t="s">
        <v>14</v>
      </c>
      <c r="F476" s="1">
        <v>44245</v>
      </c>
      <c r="G476" t="s">
        <v>146</v>
      </c>
      <c r="H476">
        <v>3683.8226599999998</v>
      </c>
      <c r="I476">
        <v>146.25</v>
      </c>
      <c r="J476">
        <v>0</v>
      </c>
      <c r="K476" s="2">
        <f t="shared" si="14"/>
        <v>52392.144497777772</v>
      </c>
      <c r="L476" s="2">
        <v>50866.144171366126</v>
      </c>
      <c r="M476" s="3">
        <f t="shared" si="15"/>
        <v>3.0000314576049014E-2</v>
      </c>
    </row>
    <row r="477" spans="1:13" x14ac:dyDescent="0.25">
      <c r="A477" t="s">
        <v>916</v>
      </c>
      <c r="B477" t="s">
        <v>437</v>
      </c>
      <c r="C477" t="s">
        <v>169</v>
      </c>
      <c r="D477" t="s">
        <v>13</v>
      </c>
      <c r="E477" t="s">
        <v>14</v>
      </c>
      <c r="F477" s="1">
        <v>41122</v>
      </c>
      <c r="G477" t="s">
        <v>47</v>
      </c>
      <c r="H477">
        <v>704.84884399999999</v>
      </c>
      <c r="I477">
        <v>28</v>
      </c>
      <c r="J477">
        <v>0</v>
      </c>
      <c r="K477" s="2">
        <f t="shared" si="14"/>
        <v>52360.199840000001</v>
      </c>
      <c r="L477" s="2">
        <v>50835.199999999997</v>
      </c>
      <c r="M477" s="3">
        <f t="shared" si="15"/>
        <v>2.9998895253682489E-2</v>
      </c>
    </row>
    <row r="478" spans="1:13" x14ac:dyDescent="0.25">
      <c r="A478" t="s">
        <v>965</v>
      </c>
      <c r="B478" t="s">
        <v>337</v>
      </c>
      <c r="C478" t="s">
        <v>12</v>
      </c>
      <c r="D478" t="s">
        <v>13</v>
      </c>
      <c r="E478" t="s">
        <v>14</v>
      </c>
      <c r="F478" s="1">
        <v>44788</v>
      </c>
      <c r="G478" t="s">
        <v>12</v>
      </c>
      <c r="H478">
        <v>3596.7776140000001</v>
      </c>
      <c r="I478">
        <v>143</v>
      </c>
      <c r="J478">
        <v>0</v>
      </c>
      <c r="K478" s="2">
        <f t="shared" si="14"/>
        <v>52316.765294545454</v>
      </c>
      <c r="L478" s="2">
        <v>50793.00095999999</v>
      </c>
      <c r="M478" s="3">
        <f t="shared" si="15"/>
        <v>2.9999494137892047E-2</v>
      </c>
    </row>
    <row r="479" spans="1:13" x14ac:dyDescent="0.25">
      <c r="A479" t="s">
        <v>728</v>
      </c>
      <c r="B479" t="s">
        <v>97</v>
      </c>
      <c r="C479" t="s">
        <v>169</v>
      </c>
      <c r="D479" t="s">
        <v>13</v>
      </c>
      <c r="E479" t="s">
        <v>14</v>
      </c>
      <c r="F479" s="1">
        <v>43966</v>
      </c>
      <c r="G479" t="s">
        <v>169</v>
      </c>
      <c r="H479">
        <v>3822.7379839999999</v>
      </c>
      <c r="I479">
        <v>152</v>
      </c>
      <c r="J479">
        <v>0</v>
      </c>
      <c r="K479" s="2">
        <f t="shared" si="14"/>
        <v>52311.151359999996</v>
      </c>
      <c r="L479" s="2">
        <v>50299.200640000003</v>
      </c>
      <c r="M479" s="3">
        <f t="shared" si="15"/>
        <v>3.9999655946818535E-2</v>
      </c>
    </row>
    <row r="480" spans="1:13" x14ac:dyDescent="0.25">
      <c r="A480" t="s">
        <v>365</v>
      </c>
      <c r="B480" t="s">
        <v>366</v>
      </c>
      <c r="C480" t="s">
        <v>12</v>
      </c>
      <c r="D480" t="s">
        <v>13</v>
      </c>
      <c r="E480" t="s">
        <v>14</v>
      </c>
      <c r="F480" s="1">
        <v>45789</v>
      </c>
      <c r="G480" t="s">
        <v>12</v>
      </c>
      <c r="H480">
        <v>3600</v>
      </c>
      <c r="I480">
        <v>144</v>
      </c>
      <c r="J480">
        <v>0</v>
      </c>
      <c r="K480" s="2">
        <f t="shared" si="14"/>
        <v>52000</v>
      </c>
      <c r="L480" s="2">
        <v>52000</v>
      </c>
      <c r="M480" s="3">
        <f t="shared" si="15"/>
        <v>0</v>
      </c>
    </row>
    <row r="481" spans="1:13" x14ac:dyDescent="0.25">
      <c r="A481" t="s">
        <v>476</v>
      </c>
      <c r="B481" t="s">
        <v>366</v>
      </c>
      <c r="C481" t="s">
        <v>12</v>
      </c>
      <c r="D481" t="s">
        <v>13</v>
      </c>
      <c r="E481" t="s">
        <v>14</v>
      </c>
      <c r="F481" s="1">
        <v>45824</v>
      </c>
      <c r="G481" t="s">
        <v>12</v>
      </c>
      <c r="H481">
        <v>3600</v>
      </c>
      <c r="I481">
        <v>144</v>
      </c>
      <c r="J481">
        <v>0</v>
      </c>
      <c r="K481" s="2">
        <f t="shared" si="14"/>
        <v>52000</v>
      </c>
      <c r="L481" s="2">
        <v>52000</v>
      </c>
      <c r="M481" s="3">
        <f t="shared" si="15"/>
        <v>0</v>
      </c>
    </row>
    <row r="482" spans="1:13" x14ac:dyDescent="0.25">
      <c r="A482" t="s">
        <v>545</v>
      </c>
      <c r="B482" t="s">
        <v>366</v>
      </c>
      <c r="C482" t="s">
        <v>12</v>
      </c>
      <c r="D482" t="s">
        <v>13</v>
      </c>
      <c r="E482" t="s">
        <v>14</v>
      </c>
      <c r="F482" s="1">
        <v>44789</v>
      </c>
      <c r="G482" t="s">
        <v>12</v>
      </c>
      <c r="H482">
        <v>3718.1779139999999</v>
      </c>
      <c r="I482">
        <v>148.75</v>
      </c>
      <c r="J482">
        <v>0</v>
      </c>
      <c r="K482" s="2">
        <f t="shared" si="14"/>
        <v>51992.000410890752</v>
      </c>
      <c r="L482" s="2">
        <v>49920</v>
      </c>
      <c r="M482" s="3">
        <f t="shared" si="15"/>
        <v>4.1506418487394781E-2</v>
      </c>
    </row>
    <row r="483" spans="1:13" x14ac:dyDescent="0.25">
      <c r="A483" t="s">
        <v>393</v>
      </c>
      <c r="B483" t="s">
        <v>394</v>
      </c>
      <c r="C483" t="s">
        <v>44</v>
      </c>
      <c r="D483" t="s">
        <v>13</v>
      </c>
      <c r="E483" t="s">
        <v>14</v>
      </c>
      <c r="F483" s="1">
        <v>41821</v>
      </c>
      <c r="G483" t="s">
        <v>44</v>
      </c>
      <c r="H483">
        <v>3261.182472</v>
      </c>
      <c r="I483">
        <v>130.5</v>
      </c>
      <c r="J483">
        <v>0</v>
      </c>
      <c r="K483" s="2">
        <f t="shared" si="14"/>
        <v>51979.000319999999</v>
      </c>
      <c r="L483" s="2">
        <v>50960</v>
      </c>
      <c r="M483" s="3">
        <f t="shared" si="15"/>
        <v>1.9996081632652984E-2</v>
      </c>
    </row>
    <row r="484" spans="1:13" x14ac:dyDescent="0.25">
      <c r="A484" t="s">
        <v>1022</v>
      </c>
      <c r="B484" t="s">
        <v>530</v>
      </c>
      <c r="C484" t="s">
        <v>44</v>
      </c>
      <c r="D484" t="s">
        <v>13</v>
      </c>
      <c r="E484" t="s">
        <v>14</v>
      </c>
      <c r="F484" s="1">
        <v>45229</v>
      </c>
      <c r="G484" t="s">
        <v>44</v>
      </c>
      <c r="H484">
        <v>2748.5081879999998</v>
      </c>
      <c r="I484">
        <v>110</v>
      </c>
      <c r="J484">
        <v>0</v>
      </c>
      <c r="K484" s="2">
        <f t="shared" si="14"/>
        <v>51971.791191272729</v>
      </c>
      <c r="L484" s="2">
        <v>50457.790300152199</v>
      </c>
      <c r="M484" s="3">
        <f t="shared" si="15"/>
        <v>3.0005295160853818E-2</v>
      </c>
    </row>
    <row r="485" spans="1:13" x14ac:dyDescent="0.25">
      <c r="A485" t="s">
        <v>497</v>
      </c>
      <c r="B485" t="s">
        <v>498</v>
      </c>
      <c r="C485" t="s">
        <v>44</v>
      </c>
      <c r="D485" t="s">
        <v>13</v>
      </c>
      <c r="E485" t="s">
        <v>14</v>
      </c>
      <c r="F485" s="1">
        <v>43661</v>
      </c>
      <c r="G485" t="s">
        <v>44</v>
      </c>
      <c r="H485">
        <v>3596.7461760000001</v>
      </c>
      <c r="I485">
        <v>144</v>
      </c>
      <c r="J485">
        <v>0</v>
      </c>
      <c r="K485" s="2">
        <f t="shared" si="14"/>
        <v>51953.000319999999</v>
      </c>
      <c r="L485" s="2">
        <v>50440</v>
      </c>
      <c r="M485" s="3">
        <f t="shared" si="15"/>
        <v>2.9996041237113413E-2</v>
      </c>
    </row>
    <row r="486" spans="1:13" x14ac:dyDescent="0.25">
      <c r="A486" t="s">
        <v>32</v>
      </c>
      <c r="B486" t="s">
        <v>33</v>
      </c>
      <c r="C486" t="s">
        <v>31</v>
      </c>
      <c r="D486" t="s">
        <v>13</v>
      </c>
      <c r="E486" t="s">
        <v>14</v>
      </c>
      <c r="F486" s="1">
        <v>44809</v>
      </c>
      <c r="G486" t="s">
        <v>31</v>
      </c>
      <c r="H486">
        <v>3393.0691689999999</v>
      </c>
      <c r="I486">
        <v>136</v>
      </c>
      <c r="J486">
        <v>0</v>
      </c>
      <c r="K486" s="2">
        <f t="shared" si="14"/>
        <v>51893.999055294116</v>
      </c>
      <c r="L486" s="2">
        <v>50382.999680000001</v>
      </c>
      <c r="M486" s="3">
        <f t="shared" si="15"/>
        <v>2.9990262288688729E-2</v>
      </c>
    </row>
    <row r="487" spans="1:13" x14ac:dyDescent="0.25">
      <c r="A487" t="s">
        <v>904</v>
      </c>
      <c r="B487" t="s">
        <v>660</v>
      </c>
      <c r="C487" t="s">
        <v>79</v>
      </c>
      <c r="D487" t="s">
        <v>13</v>
      </c>
      <c r="E487" t="s">
        <v>14</v>
      </c>
      <c r="F487" s="1">
        <v>43731</v>
      </c>
      <c r="G487" t="s">
        <v>79</v>
      </c>
      <c r="H487">
        <v>3766.1238189999999</v>
      </c>
      <c r="I487">
        <v>151.21666666666599</v>
      </c>
      <c r="J487">
        <v>0</v>
      </c>
      <c r="K487" s="2">
        <f t="shared" si="14"/>
        <v>51803.400486190025</v>
      </c>
      <c r="L487" s="2">
        <v>50294.400000000205</v>
      </c>
      <c r="M487" s="3">
        <f t="shared" si="15"/>
        <v>3.0003349999002227E-2</v>
      </c>
    </row>
    <row r="488" spans="1:13" x14ac:dyDescent="0.25">
      <c r="A488" t="s">
        <v>398</v>
      </c>
      <c r="B488" t="s">
        <v>19</v>
      </c>
      <c r="C488" t="s">
        <v>31</v>
      </c>
      <c r="D488" t="s">
        <v>13</v>
      </c>
      <c r="E488" t="s">
        <v>14</v>
      </c>
      <c r="F488" s="1">
        <v>45467</v>
      </c>
      <c r="G488" t="s">
        <v>31</v>
      </c>
      <c r="H488">
        <v>3683.424</v>
      </c>
      <c r="I488">
        <v>148</v>
      </c>
      <c r="J488">
        <v>0</v>
      </c>
      <c r="K488" s="2">
        <f t="shared" si="14"/>
        <v>51767.040000000001</v>
      </c>
      <c r="L488" s="2">
        <v>51767.039999999994</v>
      </c>
      <c r="M488" s="3">
        <f t="shared" si="15"/>
        <v>2.2204460492503131E-16</v>
      </c>
    </row>
    <row r="489" spans="1:13" x14ac:dyDescent="0.25">
      <c r="A489" t="s">
        <v>609</v>
      </c>
      <c r="B489" t="s">
        <v>19</v>
      </c>
      <c r="C489" t="s">
        <v>31</v>
      </c>
      <c r="D489" t="s">
        <v>13</v>
      </c>
      <c r="E489" t="s">
        <v>14</v>
      </c>
      <c r="F489" s="1">
        <v>45152</v>
      </c>
      <c r="G489" t="s">
        <v>31</v>
      </c>
      <c r="H489">
        <v>3147.32</v>
      </c>
      <c r="I489">
        <v>126.5</v>
      </c>
      <c r="J489">
        <v>0</v>
      </c>
      <c r="K489" s="2">
        <f t="shared" si="14"/>
        <v>51750.400000000009</v>
      </c>
      <c r="L489" s="2">
        <v>51750.400000000001</v>
      </c>
      <c r="M489" s="3">
        <f t="shared" si="15"/>
        <v>2.2204460492503131E-16</v>
      </c>
    </row>
    <row r="490" spans="1:13" x14ac:dyDescent="0.25">
      <c r="A490" t="s">
        <v>748</v>
      </c>
      <c r="B490" t="s">
        <v>19</v>
      </c>
      <c r="C490" t="s">
        <v>31</v>
      </c>
      <c r="D490" t="s">
        <v>13</v>
      </c>
      <c r="E490" t="s">
        <v>14</v>
      </c>
      <c r="F490" s="1">
        <v>45154</v>
      </c>
      <c r="G490" t="s">
        <v>31</v>
      </c>
      <c r="H490">
        <v>3781.76</v>
      </c>
      <c r="I490">
        <v>152</v>
      </c>
      <c r="J490">
        <v>0</v>
      </c>
      <c r="K490" s="2">
        <f t="shared" si="14"/>
        <v>51750.400000000001</v>
      </c>
      <c r="L490" s="2">
        <v>51750.400000000001</v>
      </c>
      <c r="M490" s="3">
        <f t="shared" si="15"/>
        <v>0</v>
      </c>
    </row>
    <row r="491" spans="1:13" x14ac:dyDescent="0.25">
      <c r="A491" t="s">
        <v>415</v>
      </c>
      <c r="B491" t="s">
        <v>118</v>
      </c>
      <c r="C491" t="s">
        <v>416</v>
      </c>
      <c r="D491" t="s">
        <v>13</v>
      </c>
      <c r="E491" t="s">
        <v>14</v>
      </c>
      <c r="F491" s="1">
        <v>44844</v>
      </c>
      <c r="G491" t="s">
        <v>416</v>
      </c>
      <c r="H491">
        <v>2785.946128</v>
      </c>
      <c r="I491">
        <v>112</v>
      </c>
      <c r="J491">
        <v>0</v>
      </c>
      <c r="K491" s="2">
        <f t="shared" si="14"/>
        <v>51738.999520000005</v>
      </c>
      <c r="L491" s="2">
        <v>50232.000000000007</v>
      </c>
      <c r="M491" s="3">
        <f t="shared" si="15"/>
        <v>3.0000786749482256E-2</v>
      </c>
    </row>
    <row r="492" spans="1:13" x14ac:dyDescent="0.25">
      <c r="A492" t="s">
        <v>103</v>
      </c>
      <c r="B492" t="s">
        <v>97</v>
      </c>
      <c r="C492" t="s">
        <v>23</v>
      </c>
      <c r="D492" t="s">
        <v>13</v>
      </c>
      <c r="E492" t="s">
        <v>14</v>
      </c>
      <c r="F492" s="1">
        <v>44592</v>
      </c>
      <c r="G492" t="s">
        <v>23</v>
      </c>
      <c r="H492">
        <v>3581.9307359999998</v>
      </c>
      <c r="I492">
        <v>144</v>
      </c>
      <c r="J492">
        <v>0</v>
      </c>
      <c r="K492" s="2">
        <f t="shared" si="14"/>
        <v>51738.999519999998</v>
      </c>
      <c r="L492" s="2">
        <v>50232</v>
      </c>
      <c r="M492" s="3">
        <f t="shared" si="15"/>
        <v>3.0000786749482256E-2</v>
      </c>
    </row>
    <row r="493" spans="1:13" x14ac:dyDescent="0.25">
      <c r="A493" t="s">
        <v>114</v>
      </c>
      <c r="B493" t="s">
        <v>115</v>
      </c>
      <c r="C493" t="s">
        <v>41</v>
      </c>
      <c r="D493" t="s">
        <v>13</v>
      </c>
      <c r="E493" t="s">
        <v>14</v>
      </c>
      <c r="F493" s="1">
        <v>44389</v>
      </c>
      <c r="G493" t="s">
        <v>41</v>
      </c>
      <c r="H493">
        <v>2347.6051179999999</v>
      </c>
      <c r="I493">
        <v>94.75</v>
      </c>
      <c r="J493">
        <v>0</v>
      </c>
      <c r="K493" s="2">
        <f t="shared" si="14"/>
        <v>51535.816838416889</v>
      </c>
      <c r="L493" s="2">
        <v>50034.815999999999</v>
      </c>
      <c r="M493" s="3">
        <f t="shared" si="15"/>
        <v>2.9999127775685031E-2</v>
      </c>
    </row>
    <row r="494" spans="1:13" x14ac:dyDescent="0.25">
      <c r="A494" t="s">
        <v>283</v>
      </c>
      <c r="B494" t="s">
        <v>54</v>
      </c>
      <c r="C494" t="s">
        <v>63</v>
      </c>
      <c r="D494" t="s">
        <v>13</v>
      </c>
      <c r="E494" t="s">
        <v>14</v>
      </c>
      <c r="F494" s="1">
        <v>43108</v>
      </c>
      <c r="G494" t="s">
        <v>63</v>
      </c>
      <c r="H494">
        <v>3451.906023</v>
      </c>
      <c r="I494">
        <v>139.5</v>
      </c>
      <c r="J494">
        <v>0</v>
      </c>
      <c r="K494" s="2">
        <f t="shared" si="14"/>
        <v>51469.279769462366</v>
      </c>
      <c r="L494" s="2">
        <v>49849.279999999999</v>
      </c>
      <c r="M494" s="3">
        <f t="shared" si="15"/>
        <v>3.2497957231526042E-2</v>
      </c>
    </row>
    <row r="495" spans="1:13" x14ac:dyDescent="0.25">
      <c r="A495" t="s">
        <v>986</v>
      </c>
      <c r="B495" t="s">
        <v>99</v>
      </c>
      <c r="C495" t="s">
        <v>41</v>
      </c>
      <c r="D495" t="s">
        <v>13</v>
      </c>
      <c r="E495" t="s">
        <v>14</v>
      </c>
      <c r="F495" s="1">
        <v>34463</v>
      </c>
      <c r="G495" t="s">
        <v>41</v>
      </c>
      <c r="H495">
        <v>2981.6600739999999</v>
      </c>
      <c r="I495">
        <v>120.5</v>
      </c>
      <c r="J495">
        <v>0</v>
      </c>
      <c r="K495" s="2">
        <f t="shared" si="14"/>
        <v>51467.659368630702</v>
      </c>
      <c r="L495" s="2">
        <v>50458.659720332405</v>
      </c>
      <c r="M495" s="3">
        <f t="shared" si="15"/>
        <v>1.9996560627862259E-2</v>
      </c>
    </row>
    <row r="496" spans="1:13" x14ac:dyDescent="0.25">
      <c r="A496" t="s">
        <v>669</v>
      </c>
      <c r="B496" t="s">
        <v>619</v>
      </c>
      <c r="C496" t="s">
        <v>106</v>
      </c>
      <c r="D496" t="s">
        <v>13</v>
      </c>
      <c r="E496" t="s">
        <v>14</v>
      </c>
      <c r="F496" s="1">
        <v>43241</v>
      </c>
      <c r="G496" t="s">
        <v>106</v>
      </c>
      <c r="H496">
        <v>3443.960521</v>
      </c>
      <c r="I496">
        <v>139.25</v>
      </c>
      <c r="J496">
        <v>0</v>
      </c>
      <c r="K496" s="2">
        <f t="shared" si="14"/>
        <v>51443.000959999998</v>
      </c>
      <c r="L496" s="2">
        <v>49800.000640000006</v>
      </c>
      <c r="M496" s="3">
        <f t="shared" si="15"/>
        <v>3.2991973873195413E-2</v>
      </c>
    </row>
    <row r="497" spans="1:13" x14ac:dyDescent="0.25">
      <c r="A497" t="s">
        <v>460</v>
      </c>
      <c r="B497" t="s">
        <v>437</v>
      </c>
      <c r="C497" t="s">
        <v>169</v>
      </c>
      <c r="D497" t="s">
        <v>13</v>
      </c>
      <c r="E497" t="s">
        <v>14</v>
      </c>
      <c r="F497" s="1">
        <v>43262</v>
      </c>
      <c r="G497" t="s">
        <v>169</v>
      </c>
      <c r="H497">
        <v>3263.2369440000002</v>
      </c>
      <c r="I497">
        <v>132</v>
      </c>
      <c r="J497">
        <v>0</v>
      </c>
      <c r="K497" s="2">
        <f t="shared" si="14"/>
        <v>51420.703360000007</v>
      </c>
      <c r="L497" s="2">
        <v>49922.704000000005</v>
      </c>
      <c r="M497" s="3">
        <f t="shared" si="15"/>
        <v>3.0006374654706125E-2</v>
      </c>
    </row>
    <row r="498" spans="1:13" x14ac:dyDescent="0.25">
      <c r="A498" t="s">
        <v>332</v>
      </c>
      <c r="B498" t="s">
        <v>333</v>
      </c>
      <c r="C498" t="s">
        <v>44</v>
      </c>
      <c r="D498" t="s">
        <v>13</v>
      </c>
      <c r="E498" t="s">
        <v>14</v>
      </c>
      <c r="F498" s="1">
        <v>45538</v>
      </c>
      <c r="G498" t="s">
        <v>44</v>
      </c>
      <c r="H498">
        <v>3757.469184</v>
      </c>
      <c r="I498">
        <v>152</v>
      </c>
      <c r="J498">
        <v>0</v>
      </c>
      <c r="K498" s="2">
        <f t="shared" si="14"/>
        <v>51417.999360000002</v>
      </c>
      <c r="L498" s="2">
        <v>49920</v>
      </c>
      <c r="M498" s="3">
        <f t="shared" si="15"/>
        <v>3.0008000000000035E-2</v>
      </c>
    </row>
    <row r="499" spans="1:13" x14ac:dyDescent="0.25">
      <c r="A499" t="s">
        <v>775</v>
      </c>
      <c r="B499" t="s">
        <v>437</v>
      </c>
      <c r="C499" t="s">
        <v>12</v>
      </c>
      <c r="D499" t="s">
        <v>13</v>
      </c>
      <c r="E499" t="s">
        <v>14</v>
      </c>
      <c r="F499" s="1">
        <v>45538</v>
      </c>
      <c r="G499" t="s">
        <v>12</v>
      </c>
      <c r="H499">
        <v>3559.7076480000001</v>
      </c>
      <c r="I499">
        <v>144</v>
      </c>
      <c r="J499">
        <v>0</v>
      </c>
      <c r="K499" s="2">
        <f t="shared" si="14"/>
        <v>51417.999360000002</v>
      </c>
      <c r="L499" s="2">
        <v>49920</v>
      </c>
      <c r="M499" s="3">
        <f t="shared" si="15"/>
        <v>3.0008000000000035E-2</v>
      </c>
    </row>
    <row r="500" spans="1:13" x14ac:dyDescent="0.25">
      <c r="A500" t="s">
        <v>362</v>
      </c>
      <c r="B500" t="s">
        <v>292</v>
      </c>
      <c r="C500" t="s">
        <v>12</v>
      </c>
      <c r="D500" t="s">
        <v>13</v>
      </c>
      <c r="E500" t="s">
        <v>14</v>
      </c>
      <c r="F500" s="1">
        <v>44438</v>
      </c>
      <c r="G500" t="s">
        <v>12</v>
      </c>
      <c r="H500">
        <v>2950.3751130000001</v>
      </c>
      <c r="I500">
        <v>119.75</v>
      </c>
      <c r="J500">
        <v>0</v>
      </c>
      <c r="K500" s="2">
        <f t="shared" si="14"/>
        <v>51246.599040000001</v>
      </c>
      <c r="L500" s="2">
        <v>49753.599999999999</v>
      </c>
      <c r="M500" s="3">
        <f t="shared" si="15"/>
        <v>3.0007859531772541E-2</v>
      </c>
    </row>
    <row r="501" spans="1:13" x14ac:dyDescent="0.25">
      <c r="A501" t="s">
        <v>749</v>
      </c>
      <c r="B501" t="s">
        <v>137</v>
      </c>
      <c r="C501" t="s">
        <v>17</v>
      </c>
      <c r="D501" t="s">
        <v>13</v>
      </c>
      <c r="E501" t="s">
        <v>14</v>
      </c>
      <c r="F501" s="1">
        <v>44795</v>
      </c>
      <c r="G501" t="s">
        <v>17</v>
      </c>
      <c r="H501">
        <v>2942.492283</v>
      </c>
      <c r="I501">
        <v>120</v>
      </c>
      <c r="J501">
        <v>0</v>
      </c>
      <c r="K501" s="2">
        <f t="shared" si="14"/>
        <v>51003.199571999998</v>
      </c>
      <c r="L501" s="2">
        <v>50003.200000000004</v>
      </c>
      <c r="M501" s="3">
        <f t="shared" si="15"/>
        <v>1.9998711522462465E-2</v>
      </c>
    </row>
    <row r="502" spans="1:13" x14ac:dyDescent="0.25">
      <c r="A502" t="s">
        <v>261</v>
      </c>
      <c r="B502" t="s">
        <v>262</v>
      </c>
      <c r="C502" t="s">
        <v>263</v>
      </c>
      <c r="D502" t="s">
        <v>13</v>
      </c>
      <c r="E502" t="s">
        <v>14</v>
      </c>
      <c r="F502" s="1">
        <v>41444</v>
      </c>
      <c r="G502" t="s">
        <v>263</v>
      </c>
      <c r="H502">
        <v>3529.8414720000001</v>
      </c>
      <c r="I502">
        <v>144</v>
      </c>
      <c r="J502">
        <v>0</v>
      </c>
      <c r="K502" s="2">
        <f t="shared" si="14"/>
        <v>50986.599040000001</v>
      </c>
      <c r="L502" s="2">
        <v>49025.600000000006</v>
      </c>
      <c r="M502" s="3">
        <f t="shared" si="15"/>
        <v>3.9999490878234845E-2</v>
      </c>
    </row>
    <row r="503" spans="1:13" x14ac:dyDescent="0.25">
      <c r="A503" t="s">
        <v>625</v>
      </c>
      <c r="B503" t="s">
        <v>437</v>
      </c>
      <c r="C503" t="s">
        <v>12</v>
      </c>
      <c r="D503" t="s">
        <v>13</v>
      </c>
      <c r="E503" t="s">
        <v>14</v>
      </c>
      <c r="F503" s="1">
        <v>45538</v>
      </c>
      <c r="G503" t="s">
        <v>12</v>
      </c>
      <c r="H503">
        <v>3623.0115839999999</v>
      </c>
      <c r="I503">
        <v>148</v>
      </c>
      <c r="J503">
        <v>0</v>
      </c>
      <c r="K503" s="2">
        <f t="shared" si="14"/>
        <v>50918.000639999998</v>
      </c>
      <c r="L503" s="2">
        <v>49920</v>
      </c>
      <c r="M503" s="3">
        <f t="shared" si="15"/>
        <v>1.999200000000001E-2</v>
      </c>
    </row>
    <row r="504" spans="1:13" x14ac:dyDescent="0.25">
      <c r="A504" t="s">
        <v>389</v>
      </c>
      <c r="B504" t="s">
        <v>390</v>
      </c>
      <c r="C504" t="s">
        <v>44</v>
      </c>
      <c r="D504" t="s">
        <v>13</v>
      </c>
      <c r="E504" t="s">
        <v>14</v>
      </c>
      <c r="F504" s="1">
        <v>44830</v>
      </c>
      <c r="G504" t="s">
        <v>44</v>
      </c>
      <c r="H504">
        <v>3232.9402540000001</v>
      </c>
      <c r="I504">
        <v>132.25</v>
      </c>
      <c r="J504">
        <v>0</v>
      </c>
      <c r="K504" s="2">
        <f t="shared" si="14"/>
        <v>50846.999836068055</v>
      </c>
      <c r="L504" s="2">
        <v>49169.999843165904</v>
      </c>
      <c r="M504" s="3">
        <f t="shared" si="15"/>
        <v>3.4106162258514594E-2</v>
      </c>
    </row>
    <row r="505" spans="1:13" x14ac:dyDescent="0.25">
      <c r="A505" t="s">
        <v>42</v>
      </c>
      <c r="B505" t="s">
        <v>43</v>
      </c>
      <c r="C505" t="s">
        <v>44</v>
      </c>
      <c r="D505" t="s">
        <v>13</v>
      </c>
      <c r="E505" t="s">
        <v>14</v>
      </c>
      <c r="F505" s="1">
        <v>40385</v>
      </c>
      <c r="G505" t="s">
        <v>44</v>
      </c>
      <c r="H505">
        <v>3709.061897</v>
      </c>
      <c r="I505">
        <v>152</v>
      </c>
      <c r="J505">
        <v>0</v>
      </c>
      <c r="K505" s="2">
        <f t="shared" si="14"/>
        <v>50755.583853684213</v>
      </c>
      <c r="L505" s="2">
        <v>49191.584000000003</v>
      </c>
      <c r="M505" s="3">
        <f t="shared" si="15"/>
        <v>3.1794053504847763E-2</v>
      </c>
    </row>
    <row r="506" spans="1:13" x14ac:dyDescent="0.25">
      <c r="A506" t="s">
        <v>828</v>
      </c>
      <c r="B506" t="s">
        <v>33</v>
      </c>
      <c r="C506" t="s">
        <v>31</v>
      </c>
      <c r="D506" t="s">
        <v>13</v>
      </c>
      <c r="E506" t="s">
        <v>14</v>
      </c>
      <c r="F506" s="1">
        <v>44837</v>
      </c>
      <c r="G506" t="s">
        <v>31</v>
      </c>
      <c r="H506">
        <v>3669.76</v>
      </c>
      <c r="I506">
        <v>150.4</v>
      </c>
      <c r="J506">
        <v>0</v>
      </c>
      <c r="K506" s="2">
        <f t="shared" si="14"/>
        <v>50752</v>
      </c>
      <c r="L506" s="2">
        <v>49514.000644531363</v>
      </c>
      <c r="M506" s="3">
        <f t="shared" si="15"/>
        <v>2.5003016103595233E-2</v>
      </c>
    </row>
    <row r="507" spans="1:13" x14ac:dyDescent="0.25">
      <c r="A507" t="s">
        <v>844</v>
      </c>
      <c r="B507" t="s">
        <v>115</v>
      </c>
      <c r="C507" t="s">
        <v>146</v>
      </c>
      <c r="D507" t="s">
        <v>13</v>
      </c>
      <c r="E507" t="s">
        <v>14</v>
      </c>
      <c r="F507" s="1">
        <v>44517</v>
      </c>
      <c r="G507" t="s">
        <v>146</v>
      </c>
      <c r="H507">
        <v>3314.267644</v>
      </c>
      <c r="I507">
        <v>136</v>
      </c>
      <c r="J507">
        <v>0</v>
      </c>
      <c r="K507" s="2">
        <f t="shared" si="14"/>
        <v>50688.799261176471</v>
      </c>
      <c r="L507" s="2">
        <v>49212.800000000003</v>
      </c>
      <c r="M507" s="3">
        <f t="shared" si="15"/>
        <v>2.9992182139127799E-2</v>
      </c>
    </row>
    <row r="508" spans="1:13" x14ac:dyDescent="0.25">
      <c r="A508" t="s">
        <v>265</v>
      </c>
      <c r="B508" t="s">
        <v>97</v>
      </c>
      <c r="C508" t="s">
        <v>169</v>
      </c>
      <c r="D508" t="s">
        <v>13</v>
      </c>
      <c r="E508" t="s">
        <v>14</v>
      </c>
      <c r="F508" s="1">
        <v>42268</v>
      </c>
      <c r="G508" t="s">
        <v>169</v>
      </c>
      <c r="H508">
        <v>3664.3122090000002</v>
      </c>
      <c r="I508">
        <v>150.75</v>
      </c>
      <c r="J508">
        <v>0</v>
      </c>
      <c r="K508" s="2">
        <f t="shared" si="14"/>
        <v>50559.000959999998</v>
      </c>
      <c r="L508" s="2">
        <v>49567.600166064141</v>
      </c>
      <c r="M508" s="3">
        <f t="shared" si="15"/>
        <v>2.000098432472841E-2</v>
      </c>
    </row>
    <row r="509" spans="1:13" x14ac:dyDescent="0.25">
      <c r="A509" t="s">
        <v>419</v>
      </c>
      <c r="B509" t="s">
        <v>420</v>
      </c>
      <c r="C509" t="s">
        <v>23</v>
      </c>
      <c r="D509" t="s">
        <v>13</v>
      </c>
      <c r="E509" t="s">
        <v>14</v>
      </c>
      <c r="F509" s="1">
        <v>44495</v>
      </c>
      <c r="G509" t="s">
        <v>23</v>
      </c>
      <c r="H509">
        <v>2909.9422800000002</v>
      </c>
      <c r="I509">
        <v>120</v>
      </c>
      <c r="J509">
        <v>0</v>
      </c>
      <c r="K509" s="2">
        <f t="shared" si="14"/>
        <v>50438.999519999998</v>
      </c>
      <c r="L509" s="2">
        <v>48921.999360000002</v>
      </c>
      <c r="M509" s="3">
        <f t="shared" si="15"/>
        <v>3.100854788940488E-2</v>
      </c>
    </row>
    <row r="510" spans="1:13" x14ac:dyDescent="0.25">
      <c r="A510" t="s">
        <v>204</v>
      </c>
      <c r="B510" t="s">
        <v>205</v>
      </c>
      <c r="C510" t="s">
        <v>44</v>
      </c>
      <c r="D510" t="s">
        <v>13</v>
      </c>
      <c r="E510" t="s">
        <v>14</v>
      </c>
      <c r="F510" s="1">
        <v>43123</v>
      </c>
      <c r="G510" t="s">
        <v>44</v>
      </c>
      <c r="H510">
        <v>3675.3308160000001</v>
      </c>
      <c r="I510">
        <v>152</v>
      </c>
      <c r="J510">
        <v>0</v>
      </c>
      <c r="K510" s="2">
        <f t="shared" si="14"/>
        <v>50294.000639999998</v>
      </c>
      <c r="L510" s="2">
        <v>48360</v>
      </c>
      <c r="M510" s="3">
        <f t="shared" si="15"/>
        <v>3.9991741935483827E-2</v>
      </c>
    </row>
    <row r="511" spans="1:13" x14ac:dyDescent="0.25">
      <c r="A511" t="s">
        <v>399</v>
      </c>
      <c r="B511" t="s">
        <v>292</v>
      </c>
      <c r="C511" t="s">
        <v>12</v>
      </c>
      <c r="D511" t="s">
        <v>13</v>
      </c>
      <c r="E511" t="s">
        <v>14</v>
      </c>
      <c r="F511" s="1">
        <v>43983</v>
      </c>
      <c r="G511" t="s">
        <v>12</v>
      </c>
      <c r="H511">
        <v>771.26153699999998</v>
      </c>
      <c r="I511">
        <v>32</v>
      </c>
      <c r="J511">
        <v>0</v>
      </c>
      <c r="K511" s="2">
        <f t="shared" si="14"/>
        <v>50131.999904999997</v>
      </c>
      <c r="L511" s="2">
        <v>48672.000000000007</v>
      </c>
      <c r="M511" s="3">
        <f t="shared" si="15"/>
        <v>2.9996710737179244E-2</v>
      </c>
    </row>
    <row r="512" spans="1:13" x14ac:dyDescent="0.25">
      <c r="A512" t="s">
        <v>866</v>
      </c>
      <c r="B512" t="s">
        <v>38</v>
      </c>
      <c r="C512" t="s">
        <v>263</v>
      </c>
      <c r="D512" t="s">
        <v>13</v>
      </c>
      <c r="E512" t="s">
        <v>14</v>
      </c>
      <c r="F512" s="1">
        <v>45845</v>
      </c>
      <c r="G512" t="s">
        <v>263</v>
      </c>
      <c r="H512">
        <v>2884.8</v>
      </c>
      <c r="I512">
        <v>120</v>
      </c>
      <c r="J512">
        <v>0</v>
      </c>
      <c r="K512" s="2">
        <f t="shared" si="14"/>
        <v>50003.199999999997</v>
      </c>
      <c r="L512" s="2" t="e">
        <v>#N/A</v>
      </c>
      <c r="M512" s="3">
        <f t="shared" si="15"/>
        <v>0</v>
      </c>
    </row>
    <row r="513" spans="1:13" x14ac:dyDescent="0.25">
      <c r="A513" t="s">
        <v>477</v>
      </c>
      <c r="B513" t="s">
        <v>189</v>
      </c>
      <c r="C513" t="s">
        <v>342</v>
      </c>
      <c r="D513" t="s">
        <v>13</v>
      </c>
      <c r="E513" t="s">
        <v>14</v>
      </c>
      <c r="F513" s="1">
        <v>44326</v>
      </c>
      <c r="G513" t="s">
        <v>342</v>
      </c>
      <c r="H513">
        <v>3449.0362759999998</v>
      </c>
      <c r="I513">
        <v>143.5</v>
      </c>
      <c r="J513">
        <v>0</v>
      </c>
      <c r="K513" s="2">
        <f t="shared" si="14"/>
        <v>49992.999679999994</v>
      </c>
      <c r="L513" s="2">
        <v>47840</v>
      </c>
      <c r="M513" s="3">
        <f t="shared" si="15"/>
        <v>4.5004173913043344E-2</v>
      </c>
    </row>
    <row r="514" spans="1:13" x14ac:dyDescent="0.25">
      <c r="A514" t="s">
        <v>131</v>
      </c>
      <c r="B514" t="s">
        <v>99</v>
      </c>
      <c r="C514" t="s">
        <v>132</v>
      </c>
      <c r="D514" t="s">
        <v>13</v>
      </c>
      <c r="E514" t="s">
        <v>14</v>
      </c>
      <c r="F514" s="1">
        <v>45727</v>
      </c>
      <c r="G514" t="s">
        <v>132</v>
      </c>
      <c r="H514">
        <v>3348</v>
      </c>
      <c r="I514">
        <v>139.5</v>
      </c>
      <c r="J514">
        <v>0</v>
      </c>
      <c r="K514" s="2">
        <f t="shared" ref="K514:K577" si="16">(2080/I514)*H514</f>
        <v>49920</v>
      </c>
      <c r="L514" s="2">
        <v>49920</v>
      </c>
      <c r="M514" s="3">
        <f t="shared" si="15"/>
        <v>0</v>
      </c>
    </row>
    <row r="515" spans="1:13" x14ac:dyDescent="0.25">
      <c r="A515" t="s">
        <v>911</v>
      </c>
      <c r="B515" t="s">
        <v>11</v>
      </c>
      <c r="C515" t="s">
        <v>169</v>
      </c>
      <c r="D515" t="s">
        <v>13</v>
      </c>
      <c r="E515" t="s">
        <v>14</v>
      </c>
      <c r="F515" s="1">
        <v>44565</v>
      </c>
      <c r="G515" t="s">
        <v>169</v>
      </c>
      <c r="H515">
        <v>3643.644601</v>
      </c>
      <c r="I515">
        <v>152</v>
      </c>
      <c r="J515">
        <v>0</v>
      </c>
      <c r="K515" s="2">
        <f t="shared" si="16"/>
        <v>49860.399803157896</v>
      </c>
      <c r="L515" s="2">
        <v>47486.400000000001</v>
      </c>
      <c r="M515" s="3">
        <f t="shared" ref="M515:M578" si="17">IFERROR((K515/L515)-1,0)</f>
        <v>4.9993257083246867E-2</v>
      </c>
    </row>
    <row r="516" spans="1:13" x14ac:dyDescent="0.25">
      <c r="A516" t="s">
        <v>412</v>
      </c>
      <c r="B516" t="s">
        <v>318</v>
      </c>
      <c r="C516" t="s">
        <v>31</v>
      </c>
      <c r="D516" t="s">
        <v>13</v>
      </c>
      <c r="E516" t="s">
        <v>14</v>
      </c>
      <c r="F516" s="1">
        <v>44054</v>
      </c>
      <c r="G516" t="s">
        <v>31</v>
      </c>
      <c r="H516">
        <v>2684.7153739999999</v>
      </c>
      <c r="I516">
        <v>112</v>
      </c>
      <c r="J516">
        <v>0</v>
      </c>
      <c r="K516" s="2">
        <f t="shared" si="16"/>
        <v>49858.999802857143</v>
      </c>
      <c r="L516" s="2">
        <v>48360</v>
      </c>
      <c r="M516" s="3">
        <f t="shared" si="17"/>
        <v>3.099668740399375E-2</v>
      </c>
    </row>
    <row r="517" spans="1:13" x14ac:dyDescent="0.25">
      <c r="A517" t="s">
        <v>590</v>
      </c>
      <c r="B517" t="s">
        <v>437</v>
      </c>
      <c r="C517" t="s">
        <v>12</v>
      </c>
      <c r="D517" t="s">
        <v>13</v>
      </c>
      <c r="E517" t="s">
        <v>14</v>
      </c>
      <c r="F517" s="1">
        <v>39336</v>
      </c>
      <c r="G517" t="s">
        <v>12</v>
      </c>
      <c r="H517">
        <v>3257.0498560000001</v>
      </c>
      <c r="I517">
        <v>136</v>
      </c>
      <c r="J517">
        <v>0</v>
      </c>
      <c r="K517" s="2">
        <f t="shared" si="16"/>
        <v>49813.703680000006</v>
      </c>
      <c r="L517" s="2">
        <v>48362.703999999998</v>
      </c>
      <c r="M517" s="3">
        <f t="shared" si="17"/>
        <v>3.0002451475831693E-2</v>
      </c>
    </row>
    <row r="518" spans="1:13" x14ac:dyDescent="0.25">
      <c r="A518" t="s">
        <v>719</v>
      </c>
      <c r="B518" t="s">
        <v>70</v>
      </c>
      <c r="C518" t="s">
        <v>12</v>
      </c>
      <c r="D518" t="s">
        <v>13</v>
      </c>
      <c r="E518" t="s">
        <v>14</v>
      </c>
      <c r="F518" s="1">
        <v>38439</v>
      </c>
      <c r="G518" t="s">
        <v>12</v>
      </c>
      <c r="H518">
        <v>3639.7856160000001</v>
      </c>
      <c r="I518">
        <v>152</v>
      </c>
      <c r="J518">
        <v>0</v>
      </c>
      <c r="K518" s="2">
        <f t="shared" si="16"/>
        <v>49807.592640000003</v>
      </c>
      <c r="L518" s="2">
        <v>48146.591999999997</v>
      </c>
      <c r="M518" s="3">
        <f t="shared" si="17"/>
        <v>3.4498820601881919E-2</v>
      </c>
    </row>
    <row r="519" spans="1:13" x14ac:dyDescent="0.25">
      <c r="A519" t="s">
        <v>674</v>
      </c>
      <c r="B519" t="s">
        <v>70</v>
      </c>
      <c r="C519" t="s">
        <v>12</v>
      </c>
      <c r="D519" t="s">
        <v>13</v>
      </c>
      <c r="E519" t="s">
        <v>14</v>
      </c>
      <c r="F519" s="1">
        <v>39167</v>
      </c>
      <c r="G519" t="s">
        <v>12</v>
      </c>
      <c r="H519">
        <v>3107.8279699999998</v>
      </c>
      <c r="I519">
        <v>130</v>
      </c>
      <c r="J519">
        <v>0</v>
      </c>
      <c r="K519" s="2">
        <f t="shared" si="16"/>
        <v>49725.247519999997</v>
      </c>
      <c r="L519" s="2">
        <v>48465.248</v>
      </c>
      <c r="M519" s="3">
        <f t="shared" si="17"/>
        <v>2.5998000051500769E-2</v>
      </c>
    </row>
    <row r="520" spans="1:13" x14ac:dyDescent="0.25">
      <c r="A520" t="s">
        <v>149</v>
      </c>
      <c r="B520" t="s">
        <v>150</v>
      </c>
      <c r="C520" t="s">
        <v>44</v>
      </c>
      <c r="D520" t="s">
        <v>13</v>
      </c>
      <c r="E520" t="s">
        <v>14</v>
      </c>
      <c r="F520" s="1">
        <v>43521</v>
      </c>
      <c r="G520" t="s">
        <v>44</v>
      </c>
      <c r="H520">
        <v>2483.537992</v>
      </c>
      <c r="I520">
        <v>104</v>
      </c>
      <c r="J520">
        <v>0</v>
      </c>
      <c r="K520" s="2">
        <f t="shared" si="16"/>
        <v>49670.759839999999</v>
      </c>
      <c r="L520" s="2">
        <v>48223.76</v>
      </c>
      <c r="M520" s="3">
        <f t="shared" si="17"/>
        <v>3.0005952252582402E-2</v>
      </c>
    </row>
    <row r="521" spans="1:13" x14ac:dyDescent="0.25">
      <c r="A521" t="s">
        <v>869</v>
      </c>
      <c r="B521" t="s">
        <v>70</v>
      </c>
      <c r="C521" t="s">
        <v>342</v>
      </c>
      <c r="D521" t="s">
        <v>13</v>
      </c>
      <c r="E521" t="s">
        <v>14</v>
      </c>
      <c r="F521" s="1">
        <v>34243</v>
      </c>
      <c r="G521" t="s">
        <v>342</v>
      </c>
      <c r="H521">
        <v>2672.1687999999999</v>
      </c>
      <c r="I521">
        <v>112</v>
      </c>
      <c r="J521">
        <v>0</v>
      </c>
      <c r="K521" s="2">
        <f t="shared" si="16"/>
        <v>49625.992000000006</v>
      </c>
      <c r="L521" s="2">
        <v>48156.992000000006</v>
      </c>
      <c r="M521" s="3">
        <f t="shared" si="17"/>
        <v>3.0504396952367729E-2</v>
      </c>
    </row>
    <row r="522" spans="1:13" x14ac:dyDescent="0.25">
      <c r="A522" t="s">
        <v>731</v>
      </c>
      <c r="B522" t="s">
        <v>437</v>
      </c>
      <c r="C522" t="s">
        <v>12</v>
      </c>
      <c r="D522" t="s">
        <v>13</v>
      </c>
      <c r="E522" t="s">
        <v>14</v>
      </c>
      <c r="F522" s="1">
        <v>42485</v>
      </c>
      <c r="G522" t="s">
        <v>12</v>
      </c>
      <c r="H522">
        <v>3622.8031110000002</v>
      </c>
      <c r="I522">
        <v>152</v>
      </c>
      <c r="J522">
        <v>0</v>
      </c>
      <c r="K522" s="2">
        <f t="shared" si="16"/>
        <v>49575.200466315793</v>
      </c>
      <c r="L522" s="2">
        <v>48131.200000000004</v>
      </c>
      <c r="M522" s="3">
        <f t="shared" si="17"/>
        <v>3.00013393872538E-2</v>
      </c>
    </row>
    <row r="523" spans="1:13" x14ac:dyDescent="0.25">
      <c r="A523" t="s">
        <v>562</v>
      </c>
      <c r="B523" t="s">
        <v>145</v>
      </c>
      <c r="C523" t="s">
        <v>41</v>
      </c>
      <c r="D523" t="s">
        <v>13</v>
      </c>
      <c r="E523" t="s">
        <v>14</v>
      </c>
      <c r="F523" s="1">
        <v>42268</v>
      </c>
      <c r="G523" t="s">
        <v>41</v>
      </c>
      <c r="H523">
        <v>3622.2037759999998</v>
      </c>
      <c r="I523">
        <v>152</v>
      </c>
      <c r="J523">
        <v>0</v>
      </c>
      <c r="K523" s="2">
        <f t="shared" si="16"/>
        <v>49566.999039999995</v>
      </c>
      <c r="L523" s="2">
        <v>48123.000751827953</v>
      </c>
      <c r="M523" s="3">
        <f t="shared" si="17"/>
        <v>3.000640578543301E-2</v>
      </c>
    </row>
    <row r="524" spans="1:13" x14ac:dyDescent="0.25">
      <c r="A524" t="s">
        <v>556</v>
      </c>
      <c r="B524" t="s">
        <v>557</v>
      </c>
      <c r="C524" t="s">
        <v>244</v>
      </c>
      <c r="D524" t="s">
        <v>13</v>
      </c>
      <c r="E524" t="s">
        <v>14</v>
      </c>
      <c r="F524" s="1">
        <v>43969</v>
      </c>
      <c r="G524" t="s">
        <v>244</v>
      </c>
      <c r="H524">
        <v>3219.7186270000002</v>
      </c>
      <c r="I524">
        <v>135.25</v>
      </c>
      <c r="J524">
        <v>0</v>
      </c>
      <c r="K524" s="2">
        <f t="shared" si="16"/>
        <v>49515.82065922366</v>
      </c>
      <c r="L524" s="2">
        <v>48307.819064664036</v>
      </c>
      <c r="M524" s="3">
        <f t="shared" si="17"/>
        <v>2.5006336819772601E-2</v>
      </c>
    </row>
    <row r="525" spans="1:13" x14ac:dyDescent="0.25">
      <c r="A525" t="s">
        <v>436</v>
      </c>
      <c r="B525" t="s">
        <v>437</v>
      </c>
      <c r="C525" t="s">
        <v>12</v>
      </c>
      <c r="D525" t="s">
        <v>13</v>
      </c>
      <c r="E525" t="s">
        <v>14</v>
      </c>
      <c r="F525" s="1">
        <v>42023</v>
      </c>
      <c r="G525" t="s">
        <v>12</v>
      </c>
      <c r="H525">
        <v>3140.6480160000001</v>
      </c>
      <c r="I525">
        <v>132</v>
      </c>
      <c r="J525">
        <v>0</v>
      </c>
      <c r="K525" s="2">
        <f t="shared" si="16"/>
        <v>49488.999040000002</v>
      </c>
      <c r="L525" s="2">
        <v>48048</v>
      </c>
      <c r="M525" s="3">
        <f t="shared" si="17"/>
        <v>2.9990822510822523E-2</v>
      </c>
    </row>
    <row r="526" spans="1:13" x14ac:dyDescent="0.25">
      <c r="A526" t="s">
        <v>558</v>
      </c>
      <c r="B526" t="s">
        <v>437</v>
      </c>
      <c r="C526" t="s">
        <v>12</v>
      </c>
      <c r="D526" t="s">
        <v>13</v>
      </c>
      <c r="E526" t="s">
        <v>14</v>
      </c>
      <c r="F526" s="1">
        <v>33861</v>
      </c>
      <c r="G526" t="s">
        <v>12</v>
      </c>
      <c r="H526">
        <v>3234.1871679999999</v>
      </c>
      <c r="I526">
        <v>136</v>
      </c>
      <c r="J526">
        <v>0</v>
      </c>
      <c r="K526" s="2">
        <f t="shared" si="16"/>
        <v>49464.039040000003</v>
      </c>
      <c r="L526" s="2">
        <v>48023.040000000001</v>
      </c>
      <c r="M526" s="3">
        <f t="shared" si="17"/>
        <v>3.0006410256410376E-2</v>
      </c>
    </row>
    <row r="527" spans="1:13" x14ac:dyDescent="0.25">
      <c r="A527" t="s">
        <v>495</v>
      </c>
      <c r="B527" t="s">
        <v>97</v>
      </c>
      <c r="C527" t="s">
        <v>169</v>
      </c>
      <c r="D527" t="s">
        <v>13</v>
      </c>
      <c r="E527" t="s">
        <v>14</v>
      </c>
      <c r="F527" s="1">
        <v>43648</v>
      </c>
      <c r="G527" t="s">
        <v>169</v>
      </c>
      <c r="H527">
        <v>3034.5950899999998</v>
      </c>
      <c r="I527">
        <v>127.75</v>
      </c>
      <c r="J527">
        <v>0</v>
      </c>
      <c r="K527" s="2">
        <f t="shared" si="16"/>
        <v>49408.671524070443</v>
      </c>
      <c r="L527" s="2">
        <v>47969.600640000004</v>
      </c>
      <c r="M527" s="3">
        <f t="shared" si="17"/>
        <v>2.9999642791907144E-2</v>
      </c>
    </row>
    <row r="528" spans="1:13" x14ac:dyDescent="0.25">
      <c r="A528" t="s">
        <v>53</v>
      </c>
      <c r="B528" t="s">
        <v>54</v>
      </c>
      <c r="C528" t="s">
        <v>41</v>
      </c>
      <c r="D528" t="s">
        <v>13</v>
      </c>
      <c r="E528" t="s">
        <v>14</v>
      </c>
      <c r="F528" s="1">
        <v>42541</v>
      </c>
      <c r="G528" t="s">
        <v>41</v>
      </c>
      <c r="H528">
        <v>3026.3852360000001</v>
      </c>
      <c r="I528">
        <v>127.75</v>
      </c>
      <c r="J528">
        <v>0</v>
      </c>
      <c r="K528" s="2">
        <f t="shared" si="16"/>
        <v>49275.000319999999</v>
      </c>
      <c r="L528" s="2">
        <v>47840</v>
      </c>
      <c r="M528" s="3">
        <f t="shared" si="17"/>
        <v>2.9995826086956612E-2</v>
      </c>
    </row>
    <row r="529" spans="1:13" x14ac:dyDescent="0.25">
      <c r="A529" t="s">
        <v>999</v>
      </c>
      <c r="B529" t="s">
        <v>97</v>
      </c>
      <c r="C529" t="s">
        <v>169</v>
      </c>
      <c r="D529" t="s">
        <v>13</v>
      </c>
      <c r="E529" t="s">
        <v>14</v>
      </c>
      <c r="F529" s="1">
        <v>42506</v>
      </c>
      <c r="G529" t="s">
        <v>169</v>
      </c>
      <c r="H529">
        <v>3350.693115</v>
      </c>
      <c r="I529">
        <v>141.5</v>
      </c>
      <c r="J529">
        <v>0</v>
      </c>
      <c r="K529" s="2">
        <f t="shared" si="16"/>
        <v>49254.004800000002</v>
      </c>
      <c r="L529" s="2">
        <v>48288.20047717775</v>
      </c>
      <c r="M529" s="3">
        <f t="shared" si="17"/>
        <v>2.0000834847401672E-2</v>
      </c>
    </row>
    <row r="530" spans="1:13" x14ac:dyDescent="0.25">
      <c r="A530" t="s">
        <v>812</v>
      </c>
      <c r="B530" t="s">
        <v>292</v>
      </c>
      <c r="C530" t="s">
        <v>12</v>
      </c>
      <c r="D530" t="s">
        <v>13</v>
      </c>
      <c r="E530" t="s">
        <v>14</v>
      </c>
      <c r="F530" s="1">
        <v>43332</v>
      </c>
      <c r="G530" t="s">
        <v>12</v>
      </c>
      <c r="H530">
        <v>3307.2173400000001</v>
      </c>
      <c r="I530">
        <v>140</v>
      </c>
      <c r="J530">
        <v>0</v>
      </c>
      <c r="K530" s="2">
        <f t="shared" si="16"/>
        <v>49135.800480000005</v>
      </c>
      <c r="L530" s="2">
        <v>47704.800000000003</v>
      </c>
      <c r="M530" s="3">
        <f t="shared" si="17"/>
        <v>2.9996991497710956E-2</v>
      </c>
    </row>
    <row r="531" spans="1:13" x14ac:dyDescent="0.25">
      <c r="A531" t="s">
        <v>1006</v>
      </c>
      <c r="B531" t="s">
        <v>437</v>
      </c>
      <c r="C531" t="s">
        <v>12</v>
      </c>
      <c r="D531" t="s">
        <v>13</v>
      </c>
      <c r="E531" t="s">
        <v>14</v>
      </c>
      <c r="F531" s="1">
        <v>42436</v>
      </c>
      <c r="G531" t="s">
        <v>12</v>
      </c>
      <c r="H531">
        <v>3305.61</v>
      </c>
      <c r="I531">
        <v>140</v>
      </c>
      <c r="J531">
        <v>0</v>
      </c>
      <c r="K531" s="2">
        <f t="shared" si="16"/>
        <v>49111.920000000006</v>
      </c>
      <c r="L531" s="2">
        <v>47681.919999999998</v>
      </c>
      <c r="M531" s="3">
        <f t="shared" si="17"/>
        <v>2.9990403071017413E-2</v>
      </c>
    </row>
    <row r="532" spans="1:13" x14ac:dyDescent="0.25">
      <c r="A532" t="s">
        <v>521</v>
      </c>
      <c r="B532" t="s">
        <v>220</v>
      </c>
      <c r="C532" t="s">
        <v>44</v>
      </c>
      <c r="D532" t="s">
        <v>13</v>
      </c>
      <c r="E532" t="s">
        <v>14</v>
      </c>
      <c r="F532" s="1">
        <v>32384</v>
      </c>
      <c r="G532" t="s">
        <v>44</v>
      </c>
      <c r="H532">
        <v>3587.3637039999999</v>
      </c>
      <c r="I532">
        <v>152</v>
      </c>
      <c r="J532">
        <v>0</v>
      </c>
      <c r="K532" s="2">
        <f t="shared" si="16"/>
        <v>49090.240160000001</v>
      </c>
      <c r="L532" s="2">
        <v>47430.239999999998</v>
      </c>
      <c r="M532" s="3">
        <f t="shared" si="17"/>
        <v>3.4998772091391572E-2</v>
      </c>
    </row>
    <row r="533" spans="1:13" x14ac:dyDescent="0.25">
      <c r="A533" t="s">
        <v>317</v>
      </c>
      <c r="B533" t="s">
        <v>318</v>
      </c>
      <c r="C533" t="s">
        <v>31</v>
      </c>
      <c r="D533" t="s">
        <v>13</v>
      </c>
      <c r="E533" t="s">
        <v>14</v>
      </c>
      <c r="F533" s="1">
        <v>44837</v>
      </c>
      <c r="G533" t="s">
        <v>31</v>
      </c>
      <c r="H533">
        <v>2642.284627</v>
      </c>
      <c r="I533">
        <v>112</v>
      </c>
      <c r="J533">
        <v>0</v>
      </c>
      <c r="K533" s="2">
        <f t="shared" si="16"/>
        <v>49071.000215714288</v>
      </c>
      <c r="L533" s="2">
        <v>47320</v>
      </c>
      <c r="M533" s="3">
        <f t="shared" si="17"/>
        <v>3.7003385792778731E-2</v>
      </c>
    </row>
    <row r="534" spans="1:13" x14ac:dyDescent="0.25">
      <c r="A534" t="s">
        <v>715</v>
      </c>
      <c r="B534" t="s">
        <v>318</v>
      </c>
      <c r="C534" t="s">
        <v>31</v>
      </c>
      <c r="D534" t="s">
        <v>13</v>
      </c>
      <c r="E534" t="s">
        <v>14</v>
      </c>
      <c r="F534" s="1">
        <v>43451</v>
      </c>
      <c r="G534" t="s">
        <v>31</v>
      </c>
      <c r="H534">
        <v>3300.5</v>
      </c>
      <c r="I534">
        <v>140</v>
      </c>
      <c r="J534">
        <v>0</v>
      </c>
      <c r="K534" s="2">
        <f t="shared" si="16"/>
        <v>49036</v>
      </c>
      <c r="L534" s="2">
        <v>47840</v>
      </c>
      <c r="M534" s="3">
        <f t="shared" si="17"/>
        <v>2.4999999999999911E-2</v>
      </c>
    </row>
    <row r="535" spans="1:13" x14ac:dyDescent="0.25">
      <c r="A535" t="s">
        <v>470</v>
      </c>
      <c r="B535" t="s">
        <v>437</v>
      </c>
      <c r="C535" t="s">
        <v>12</v>
      </c>
      <c r="D535" t="s">
        <v>13</v>
      </c>
      <c r="E535" t="s">
        <v>14</v>
      </c>
      <c r="F535" s="1">
        <v>40434</v>
      </c>
      <c r="G535" t="s">
        <v>12</v>
      </c>
      <c r="H535">
        <v>2733.7184120000002</v>
      </c>
      <c r="I535">
        <v>116</v>
      </c>
      <c r="J535">
        <v>0</v>
      </c>
      <c r="K535" s="2">
        <f t="shared" si="16"/>
        <v>49018.399111724138</v>
      </c>
      <c r="L535" s="2">
        <v>47590.400000000001</v>
      </c>
      <c r="M535" s="3">
        <f t="shared" si="17"/>
        <v>3.0006032975645081E-2</v>
      </c>
    </row>
    <row r="536" spans="1:13" x14ac:dyDescent="0.25">
      <c r="A536" t="s">
        <v>382</v>
      </c>
      <c r="B536" t="s">
        <v>333</v>
      </c>
      <c r="C536" t="s">
        <v>44</v>
      </c>
      <c r="D536" t="s">
        <v>13</v>
      </c>
      <c r="E536" t="s">
        <v>14</v>
      </c>
      <c r="F536" s="1">
        <v>36920</v>
      </c>
      <c r="G536" t="s">
        <v>44</v>
      </c>
      <c r="H536">
        <v>3205.0491699999998</v>
      </c>
      <c r="I536">
        <v>136</v>
      </c>
      <c r="J536">
        <v>0</v>
      </c>
      <c r="K536" s="2">
        <f t="shared" si="16"/>
        <v>49018.399070588232</v>
      </c>
      <c r="L536" s="2">
        <v>47590.400000000001</v>
      </c>
      <c r="M536" s="3">
        <f t="shared" si="17"/>
        <v>3.0006032111270953E-2</v>
      </c>
    </row>
    <row r="537" spans="1:13" x14ac:dyDescent="0.25">
      <c r="A537" t="s">
        <v>104</v>
      </c>
      <c r="B537" t="s">
        <v>105</v>
      </c>
      <c r="C537" t="s">
        <v>106</v>
      </c>
      <c r="D537" t="s">
        <v>13</v>
      </c>
      <c r="E537" t="s">
        <v>14</v>
      </c>
      <c r="F537" s="1">
        <v>34470</v>
      </c>
      <c r="G537" t="s">
        <v>106</v>
      </c>
      <c r="H537">
        <v>3266.9222840000002</v>
      </c>
      <c r="I537">
        <v>139</v>
      </c>
      <c r="J537">
        <v>0</v>
      </c>
      <c r="K537" s="2">
        <f t="shared" si="16"/>
        <v>48886.31906992806</v>
      </c>
      <c r="L537" s="2">
        <v>47462.319871645923</v>
      </c>
      <c r="M537" s="3">
        <f t="shared" si="17"/>
        <v>3.000273063207004E-2</v>
      </c>
    </row>
    <row r="538" spans="1:13" x14ac:dyDescent="0.25">
      <c r="A538" t="s">
        <v>627</v>
      </c>
      <c r="B538" t="s">
        <v>505</v>
      </c>
      <c r="C538" t="s">
        <v>250</v>
      </c>
      <c r="D538" t="s">
        <v>13</v>
      </c>
      <c r="E538" t="s">
        <v>14</v>
      </c>
      <c r="F538" s="1">
        <v>45761</v>
      </c>
      <c r="G538" t="s">
        <v>250</v>
      </c>
      <c r="H538">
        <v>3572</v>
      </c>
      <c r="I538">
        <v>152</v>
      </c>
      <c r="J538">
        <v>0</v>
      </c>
      <c r="K538" s="2">
        <f t="shared" si="16"/>
        <v>48880</v>
      </c>
      <c r="L538" s="2">
        <v>48880</v>
      </c>
      <c r="M538" s="3">
        <f t="shared" si="17"/>
        <v>0</v>
      </c>
    </row>
    <row r="539" spans="1:13" x14ac:dyDescent="0.25">
      <c r="A539" t="s">
        <v>983</v>
      </c>
      <c r="B539" t="s">
        <v>189</v>
      </c>
      <c r="C539" t="s">
        <v>31</v>
      </c>
      <c r="D539" t="s">
        <v>13</v>
      </c>
      <c r="E539" t="s">
        <v>14</v>
      </c>
      <c r="F539" s="1">
        <v>43850</v>
      </c>
      <c r="G539" t="s">
        <v>31</v>
      </c>
      <c r="H539">
        <v>1680.25</v>
      </c>
      <c r="I539">
        <v>71.5</v>
      </c>
      <c r="J539">
        <v>0</v>
      </c>
      <c r="K539" s="2">
        <f t="shared" si="16"/>
        <v>48880</v>
      </c>
      <c r="L539" s="2">
        <v>48880</v>
      </c>
      <c r="M539" s="3">
        <f t="shared" si="17"/>
        <v>0</v>
      </c>
    </row>
    <row r="540" spans="1:13" x14ac:dyDescent="0.25">
      <c r="A540" t="s">
        <v>278</v>
      </c>
      <c r="B540" t="s">
        <v>22</v>
      </c>
      <c r="C540" t="s">
        <v>191</v>
      </c>
      <c r="D540" t="s">
        <v>13</v>
      </c>
      <c r="E540" t="s">
        <v>14</v>
      </c>
      <c r="F540" s="1">
        <v>44431</v>
      </c>
      <c r="G540" t="s">
        <v>191</v>
      </c>
      <c r="H540">
        <v>3562.1124279999999</v>
      </c>
      <c r="I540">
        <v>151.75</v>
      </c>
      <c r="J540">
        <v>0</v>
      </c>
      <c r="K540" s="2">
        <f t="shared" si="16"/>
        <v>48825.00066056013</v>
      </c>
      <c r="L540" s="2">
        <v>46280</v>
      </c>
      <c r="M540" s="3">
        <f t="shared" si="17"/>
        <v>5.4991371230772135E-2</v>
      </c>
    </row>
    <row r="541" spans="1:13" x14ac:dyDescent="0.25">
      <c r="A541" t="s">
        <v>722</v>
      </c>
      <c r="B541" t="s">
        <v>189</v>
      </c>
      <c r="C541" t="s">
        <v>31</v>
      </c>
      <c r="D541" t="s">
        <v>13</v>
      </c>
      <c r="E541" t="s">
        <v>14</v>
      </c>
      <c r="F541" s="1">
        <v>44312</v>
      </c>
      <c r="G541" t="s">
        <v>31</v>
      </c>
      <c r="H541">
        <v>3280.8461040000002</v>
      </c>
      <c r="I541">
        <v>140</v>
      </c>
      <c r="J541">
        <v>0</v>
      </c>
      <c r="K541" s="2">
        <f t="shared" si="16"/>
        <v>48743.99925942858</v>
      </c>
      <c r="L541" s="2">
        <v>47320</v>
      </c>
      <c r="M541" s="3">
        <f t="shared" si="17"/>
        <v>3.0092968288854216E-2</v>
      </c>
    </row>
    <row r="542" spans="1:13" x14ac:dyDescent="0.25">
      <c r="A542" t="s">
        <v>226</v>
      </c>
      <c r="B542" t="s">
        <v>205</v>
      </c>
      <c r="C542" t="s">
        <v>44</v>
      </c>
      <c r="D542" t="s">
        <v>13</v>
      </c>
      <c r="E542" t="s">
        <v>14</v>
      </c>
      <c r="F542" s="1">
        <v>38950</v>
      </c>
      <c r="G542" t="s">
        <v>44</v>
      </c>
      <c r="H542">
        <v>3093.1153439999998</v>
      </c>
      <c r="I542">
        <v>132</v>
      </c>
      <c r="J542">
        <v>0</v>
      </c>
      <c r="K542" s="2">
        <f t="shared" si="16"/>
        <v>48739.999359999994</v>
      </c>
      <c r="L542" s="2">
        <v>47320</v>
      </c>
      <c r="M542" s="3">
        <f t="shared" si="17"/>
        <v>3.0008439560439415E-2</v>
      </c>
    </row>
    <row r="543" spans="1:13" x14ac:dyDescent="0.25">
      <c r="A543" t="s">
        <v>733</v>
      </c>
      <c r="B543" t="s">
        <v>70</v>
      </c>
      <c r="C543" t="s">
        <v>12</v>
      </c>
      <c r="D543" t="s">
        <v>13</v>
      </c>
      <c r="E543" t="s">
        <v>14</v>
      </c>
      <c r="F543" s="1">
        <v>37768</v>
      </c>
      <c r="G543" t="s">
        <v>12</v>
      </c>
      <c r="H543">
        <v>3556.9070080000001</v>
      </c>
      <c r="I543">
        <v>152</v>
      </c>
      <c r="J543">
        <v>0</v>
      </c>
      <c r="K543" s="2">
        <f t="shared" si="16"/>
        <v>48673.464319999999</v>
      </c>
      <c r="L543" s="2">
        <v>47004.464</v>
      </c>
      <c r="M543" s="3">
        <f t="shared" si="17"/>
        <v>3.5507272670953105E-2</v>
      </c>
    </row>
    <row r="544" spans="1:13" x14ac:dyDescent="0.25">
      <c r="A544" t="s">
        <v>936</v>
      </c>
      <c r="B544" t="s">
        <v>70</v>
      </c>
      <c r="C544" t="s">
        <v>12</v>
      </c>
      <c r="D544" t="s">
        <v>13</v>
      </c>
      <c r="E544" t="s">
        <v>14</v>
      </c>
      <c r="F544" s="1">
        <v>40021</v>
      </c>
      <c r="G544" t="s">
        <v>12</v>
      </c>
      <c r="H544">
        <v>3556.9070080000001</v>
      </c>
      <c r="I544">
        <v>152</v>
      </c>
      <c r="J544">
        <v>0</v>
      </c>
      <c r="K544" s="2">
        <f t="shared" si="16"/>
        <v>48673.464319999999</v>
      </c>
      <c r="L544" s="2">
        <v>47004.464</v>
      </c>
      <c r="M544" s="3">
        <f t="shared" si="17"/>
        <v>3.5507272670953105E-2</v>
      </c>
    </row>
    <row r="545" spans="1:13" x14ac:dyDescent="0.25">
      <c r="A545" t="s">
        <v>913</v>
      </c>
      <c r="B545" t="s">
        <v>209</v>
      </c>
      <c r="C545" t="s">
        <v>44</v>
      </c>
      <c r="D545" t="s">
        <v>13</v>
      </c>
      <c r="E545" t="s">
        <v>14</v>
      </c>
      <c r="F545" s="1">
        <v>44851</v>
      </c>
      <c r="G545" t="s">
        <v>44</v>
      </c>
      <c r="H545">
        <v>3100.5</v>
      </c>
      <c r="I545">
        <v>132.5</v>
      </c>
      <c r="J545">
        <v>0</v>
      </c>
      <c r="K545" s="2">
        <f t="shared" si="16"/>
        <v>48672</v>
      </c>
      <c r="L545" s="2">
        <v>46800</v>
      </c>
      <c r="M545" s="3">
        <f t="shared" si="17"/>
        <v>4.0000000000000036E-2</v>
      </c>
    </row>
    <row r="546" spans="1:13" x14ac:dyDescent="0.25">
      <c r="A546" t="s">
        <v>851</v>
      </c>
      <c r="B546" t="s">
        <v>186</v>
      </c>
      <c r="C546" t="s">
        <v>12</v>
      </c>
      <c r="D546" t="s">
        <v>13</v>
      </c>
      <c r="E546" t="s">
        <v>14</v>
      </c>
      <c r="F546" s="1">
        <v>41596</v>
      </c>
      <c r="G546" t="s">
        <v>12</v>
      </c>
      <c r="H546">
        <v>3541.4714079999999</v>
      </c>
      <c r="I546">
        <v>152</v>
      </c>
      <c r="J546">
        <v>0</v>
      </c>
      <c r="K546" s="2">
        <f t="shared" si="16"/>
        <v>48462.240319999997</v>
      </c>
      <c r="L546" s="2">
        <v>46598.239999999998</v>
      </c>
      <c r="M546" s="3">
        <f t="shared" si="17"/>
        <v>4.000151765388571E-2</v>
      </c>
    </row>
    <row r="547" spans="1:13" x14ac:dyDescent="0.25">
      <c r="A547" t="s">
        <v>928</v>
      </c>
      <c r="B547" t="s">
        <v>292</v>
      </c>
      <c r="C547" t="s">
        <v>12</v>
      </c>
      <c r="D547" t="s">
        <v>13</v>
      </c>
      <c r="E547" t="s">
        <v>14</v>
      </c>
      <c r="F547" s="1">
        <v>44446</v>
      </c>
      <c r="G547" t="s">
        <v>12</v>
      </c>
      <c r="H547">
        <v>3477.2809769999999</v>
      </c>
      <c r="I547">
        <v>149.25</v>
      </c>
      <c r="J547">
        <v>0</v>
      </c>
      <c r="K547" s="2">
        <f t="shared" si="16"/>
        <v>48460.599210452259</v>
      </c>
      <c r="L547" s="2">
        <v>47049.599999999999</v>
      </c>
      <c r="M547" s="3">
        <f t="shared" si="17"/>
        <v>2.9989611185903042E-2</v>
      </c>
    </row>
    <row r="548" spans="1:13" x14ac:dyDescent="0.25">
      <c r="A548" t="s">
        <v>622</v>
      </c>
      <c r="B548" t="s">
        <v>623</v>
      </c>
      <c r="C548" t="s">
        <v>44</v>
      </c>
      <c r="D548" t="s">
        <v>13</v>
      </c>
      <c r="E548" t="s">
        <v>14</v>
      </c>
      <c r="F548" s="1">
        <v>38517</v>
      </c>
      <c r="G548" t="s">
        <v>44</v>
      </c>
      <c r="H548">
        <v>3535.1254079999999</v>
      </c>
      <c r="I548">
        <v>152</v>
      </c>
      <c r="J548">
        <v>0</v>
      </c>
      <c r="K548" s="2">
        <f t="shared" si="16"/>
        <v>48375.400320000001</v>
      </c>
      <c r="L548" s="2">
        <v>46966.400000000001</v>
      </c>
      <c r="M548" s="3">
        <f t="shared" si="17"/>
        <v>3.0000177147918583E-2</v>
      </c>
    </row>
    <row r="549" spans="1:13" x14ac:dyDescent="0.25">
      <c r="A549" t="s">
        <v>770</v>
      </c>
      <c r="B549" t="s">
        <v>205</v>
      </c>
      <c r="C549" t="s">
        <v>44</v>
      </c>
      <c r="D549" t="s">
        <v>13</v>
      </c>
      <c r="E549" t="s">
        <v>14</v>
      </c>
      <c r="F549" s="1">
        <v>43292</v>
      </c>
      <c r="G549" t="s">
        <v>44</v>
      </c>
      <c r="H549">
        <v>2999.436021</v>
      </c>
      <c r="I549">
        <v>129</v>
      </c>
      <c r="J549">
        <v>0</v>
      </c>
      <c r="K549" s="2">
        <f t="shared" si="16"/>
        <v>48362.999408372096</v>
      </c>
      <c r="L549" s="2">
        <v>46280</v>
      </c>
      <c r="M549" s="3">
        <f t="shared" si="17"/>
        <v>4.5008630258688287E-2</v>
      </c>
    </row>
    <row r="550" spans="1:13" x14ac:dyDescent="0.25">
      <c r="A550" t="s">
        <v>836</v>
      </c>
      <c r="B550" t="s">
        <v>22</v>
      </c>
      <c r="C550" t="s">
        <v>191</v>
      </c>
      <c r="D550" t="s">
        <v>13</v>
      </c>
      <c r="E550" t="s">
        <v>14</v>
      </c>
      <c r="F550" s="1">
        <v>41260</v>
      </c>
      <c r="G550" t="s">
        <v>191</v>
      </c>
      <c r="H550">
        <v>742.553856</v>
      </c>
      <c r="I550">
        <v>32</v>
      </c>
      <c r="J550">
        <v>0</v>
      </c>
      <c r="K550" s="2">
        <f t="shared" si="16"/>
        <v>48266.000639999998</v>
      </c>
      <c r="L550" s="2">
        <v>47320</v>
      </c>
      <c r="M550" s="3">
        <f t="shared" si="17"/>
        <v>1.9991560439560407E-2</v>
      </c>
    </row>
    <row r="551" spans="1:13" x14ac:dyDescent="0.25">
      <c r="A551" t="s">
        <v>628</v>
      </c>
      <c r="B551" t="s">
        <v>290</v>
      </c>
      <c r="C551" t="s">
        <v>106</v>
      </c>
      <c r="D551" t="s">
        <v>13</v>
      </c>
      <c r="E551" t="s">
        <v>14</v>
      </c>
      <c r="F551" s="1">
        <v>44088</v>
      </c>
      <c r="G551" t="s">
        <v>106</v>
      </c>
      <c r="H551">
        <v>3327.6627400000002</v>
      </c>
      <c r="I551">
        <v>144</v>
      </c>
      <c r="J551">
        <v>0</v>
      </c>
      <c r="K551" s="2">
        <f t="shared" si="16"/>
        <v>48066.239577777778</v>
      </c>
      <c r="L551" s="2">
        <v>46598.239999999998</v>
      </c>
      <c r="M551" s="3">
        <f t="shared" si="17"/>
        <v>3.1503326687398081E-2</v>
      </c>
    </row>
    <row r="552" spans="1:13" x14ac:dyDescent="0.25">
      <c r="A552" t="s">
        <v>514</v>
      </c>
      <c r="B552" t="s">
        <v>22</v>
      </c>
      <c r="C552" t="s">
        <v>191</v>
      </c>
      <c r="D552" t="s">
        <v>13</v>
      </c>
      <c r="E552" t="s">
        <v>14</v>
      </c>
      <c r="F552" s="1">
        <v>42125</v>
      </c>
      <c r="G552" t="s">
        <v>191</v>
      </c>
      <c r="H552">
        <v>3136.5</v>
      </c>
      <c r="I552">
        <v>136</v>
      </c>
      <c r="J552">
        <v>0</v>
      </c>
      <c r="K552" s="2">
        <f t="shared" si="16"/>
        <v>47970</v>
      </c>
      <c r="L552" s="2">
        <v>46800</v>
      </c>
      <c r="M552" s="3">
        <f t="shared" si="17"/>
        <v>2.4999999999999911E-2</v>
      </c>
    </row>
    <row r="553" spans="1:13" x14ac:dyDescent="0.25">
      <c r="A553" t="s">
        <v>658</v>
      </c>
      <c r="B553" t="s">
        <v>78</v>
      </c>
      <c r="C553" t="s">
        <v>44</v>
      </c>
      <c r="D553" t="s">
        <v>13</v>
      </c>
      <c r="E553" t="s">
        <v>14</v>
      </c>
      <c r="F553" s="1">
        <v>44704</v>
      </c>
      <c r="G553" t="s">
        <v>44</v>
      </c>
      <c r="H553">
        <v>3127.9492380000002</v>
      </c>
      <c r="I553">
        <v>135.81666666666601</v>
      </c>
      <c r="J553">
        <v>0</v>
      </c>
      <c r="K553" s="2">
        <f t="shared" si="16"/>
        <v>47903.799840765969</v>
      </c>
      <c r="L553" s="2">
        <v>46508.800000000003</v>
      </c>
      <c r="M553" s="3">
        <f t="shared" si="17"/>
        <v>2.9994320231138349E-2</v>
      </c>
    </row>
    <row r="554" spans="1:13" x14ac:dyDescent="0.25">
      <c r="A554" t="s">
        <v>686</v>
      </c>
      <c r="B554" t="s">
        <v>394</v>
      </c>
      <c r="C554" t="s">
        <v>44</v>
      </c>
      <c r="D554" t="s">
        <v>13</v>
      </c>
      <c r="E554" t="s">
        <v>14</v>
      </c>
      <c r="F554" s="1">
        <v>45719</v>
      </c>
      <c r="G554" t="s">
        <v>44</v>
      </c>
      <c r="H554">
        <v>3277.5</v>
      </c>
      <c r="I554">
        <v>142.5</v>
      </c>
      <c r="J554">
        <v>0</v>
      </c>
      <c r="K554" s="2">
        <f t="shared" si="16"/>
        <v>47840</v>
      </c>
      <c r="L554" s="2">
        <v>47840</v>
      </c>
      <c r="M554" s="3">
        <f t="shared" si="17"/>
        <v>0</v>
      </c>
    </row>
    <row r="555" spans="1:13" x14ac:dyDescent="0.25">
      <c r="A555" t="s">
        <v>714</v>
      </c>
      <c r="B555" t="s">
        <v>420</v>
      </c>
      <c r="C555" t="s">
        <v>44</v>
      </c>
      <c r="D555" t="s">
        <v>13</v>
      </c>
      <c r="E555" t="s">
        <v>14</v>
      </c>
      <c r="F555" s="1">
        <v>45789</v>
      </c>
      <c r="G555" t="s">
        <v>44</v>
      </c>
      <c r="H555">
        <v>3415.5</v>
      </c>
      <c r="I555">
        <v>148.5</v>
      </c>
      <c r="J555">
        <v>0</v>
      </c>
      <c r="K555" s="2">
        <f t="shared" si="16"/>
        <v>47840</v>
      </c>
      <c r="L555" s="2">
        <v>47840</v>
      </c>
      <c r="M555" s="3">
        <f t="shared" si="17"/>
        <v>0</v>
      </c>
    </row>
    <row r="556" spans="1:13" x14ac:dyDescent="0.25">
      <c r="A556" t="s">
        <v>845</v>
      </c>
      <c r="B556" t="s">
        <v>186</v>
      </c>
      <c r="C556" t="s">
        <v>169</v>
      </c>
      <c r="D556" t="s">
        <v>13</v>
      </c>
      <c r="E556" t="s">
        <v>14</v>
      </c>
      <c r="F556" s="1">
        <v>42186</v>
      </c>
      <c r="G556" t="s">
        <v>169</v>
      </c>
      <c r="H556">
        <v>3495.610576</v>
      </c>
      <c r="I556">
        <v>152</v>
      </c>
      <c r="J556">
        <v>0</v>
      </c>
      <c r="K556" s="2">
        <f t="shared" si="16"/>
        <v>47834.671040000001</v>
      </c>
      <c r="L556" s="2">
        <v>45340.671999999999</v>
      </c>
      <c r="M556" s="3">
        <f t="shared" si="17"/>
        <v>5.5005780240751756E-2</v>
      </c>
    </row>
    <row r="557" spans="1:13" x14ac:dyDescent="0.25">
      <c r="A557" t="s">
        <v>492</v>
      </c>
      <c r="B557" t="s">
        <v>420</v>
      </c>
      <c r="C557" t="s">
        <v>12</v>
      </c>
      <c r="D557" t="s">
        <v>13</v>
      </c>
      <c r="E557" t="s">
        <v>14</v>
      </c>
      <c r="F557" s="1">
        <v>44259</v>
      </c>
      <c r="G557" t="s">
        <v>12</v>
      </c>
      <c r="H557">
        <v>3108.3491770000001</v>
      </c>
      <c r="I557">
        <v>135.25</v>
      </c>
      <c r="J557">
        <v>0</v>
      </c>
      <c r="K557" s="2">
        <f t="shared" si="16"/>
        <v>47803.077916155264</v>
      </c>
      <c r="L557" s="2">
        <v>46433.200342608703</v>
      </c>
      <c r="M557" s="3">
        <f t="shared" si="17"/>
        <v>2.9502114078695296E-2</v>
      </c>
    </row>
    <row r="558" spans="1:13" x14ac:dyDescent="0.25">
      <c r="A558" t="s">
        <v>465</v>
      </c>
      <c r="B558" t="s">
        <v>189</v>
      </c>
      <c r="C558" t="s">
        <v>191</v>
      </c>
      <c r="D558" t="s">
        <v>13</v>
      </c>
      <c r="E558" t="s">
        <v>14</v>
      </c>
      <c r="F558" s="1">
        <v>45215</v>
      </c>
      <c r="G558" t="s">
        <v>191</v>
      </c>
      <c r="H558">
        <v>3304.8</v>
      </c>
      <c r="I558">
        <v>144</v>
      </c>
      <c r="J558">
        <v>0</v>
      </c>
      <c r="K558" s="2">
        <f t="shared" si="16"/>
        <v>47736</v>
      </c>
      <c r="L558" s="2">
        <v>46800</v>
      </c>
      <c r="M558" s="3">
        <f t="shared" si="17"/>
        <v>2.0000000000000018E-2</v>
      </c>
    </row>
    <row r="559" spans="1:13" x14ac:dyDescent="0.25">
      <c r="A559" t="s">
        <v>504</v>
      </c>
      <c r="B559" t="s">
        <v>505</v>
      </c>
      <c r="C559" t="s">
        <v>506</v>
      </c>
      <c r="D559" t="s">
        <v>13</v>
      </c>
      <c r="E559" t="s">
        <v>14</v>
      </c>
      <c r="F559" s="1">
        <v>43647</v>
      </c>
      <c r="G559" t="s">
        <v>506</v>
      </c>
      <c r="H559">
        <v>3475.0562239999999</v>
      </c>
      <c r="I559">
        <v>152</v>
      </c>
      <c r="J559">
        <v>0</v>
      </c>
      <c r="K559" s="2">
        <f t="shared" si="16"/>
        <v>47553.400959999999</v>
      </c>
      <c r="L559" s="2">
        <v>46056.399999999994</v>
      </c>
      <c r="M559" s="3">
        <f t="shared" si="17"/>
        <v>3.2503646833013544E-2</v>
      </c>
    </row>
    <row r="560" spans="1:13" x14ac:dyDescent="0.25">
      <c r="A560" t="s">
        <v>203</v>
      </c>
      <c r="B560" t="s">
        <v>33</v>
      </c>
      <c r="C560" t="s">
        <v>31</v>
      </c>
      <c r="D560" t="s">
        <v>13</v>
      </c>
      <c r="E560" t="s">
        <v>14</v>
      </c>
      <c r="F560" s="1">
        <v>44725</v>
      </c>
      <c r="G560" t="s">
        <v>31</v>
      </c>
      <c r="H560">
        <v>3279.8076489999999</v>
      </c>
      <c r="I560">
        <v>144</v>
      </c>
      <c r="J560">
        <v>0</v>
      </c>
      <c r="K560" s="2">
        <f t="shared" si="16"/>
        <v>47374.999374444444</v>
      </c>
      <c r="L560" s="2">
        <v>46789.999360000002</v>
      </c>
      <c r="M560" s="3">
        <f t="shared" si="17"/>
        <v>1.2502671990727743E-2</v>
      </c>
    </row>
    <row r="561" spans="1:13" x14ac:dyDescent="0.25">
      <c r="A561" t="s">
        <v>829</v>
      </c>
      <c r="B561" t="s">
        <v>205</v>
      </c>
      <c r="C561" t="s">
        <v>44</v>
      </c>
      <c r="D561" t="s">
        <v>13</v>
      </c>
      <c r="E561" t="s">
        <v>14</v>
      </c>
      <c r="F561" s="1">
        <v>44312</v>
      </c>
      <c r="G561" t="s">
        <v>44</v>
      </c>
      <c r="H561">
        <v>3458.073112</v>
      </c>
      <c r="I561">
        <v>152</v>
      </c>
      <c r="J561">
        <v>0</v>
      </c>
      <c r="K561" s="2">
        <f t="shared" si="16"/>
        <v>47321.000480000002</v>
      </c>
      <c r="L561" s="2">
        <v>45240</v>
      </c>
      <c r="M561" s="3">
        <f t="shared" si="17"/>
        <v>4.5999126436781612E-2</v>
      </c>
    </row>
    <row r="562" spans="1:13" x14ac:dyDescent="0.25">
      <c r="A562" t="s">
        <v>886</v>
      </c>
      <c r="B562" t="s">
        <v>22</v>
      </c>
      <c r="C562" t="s">
        <v>191</v>
      </c>
      <c r="D562" t="s">
        <v>13</v>
      </c>
      <c r="E562" t="s">
        <v>14</v>
      </c>
      <c r="F562" s="1">
        <v>42303</v>
      </c>
      <c r="G562" t="s">
        <v>191</v>
      </c>
      <c r="H562">
        <v>3091.8945840000001</v>
      </c>
      <c r="I562">
        <v>136</v>
      </c>
      <c r="J562">
        <v>0</v>
      </c>
      <c r="K562" s="2">
        <f t="shared" si="16"/>
        <v>47287.799520000008</v>
      </c>
      <c r="L562" s="2">
        <v>45468.800000000003</v>
      </c>
      <c r="M562" s="3">
        <f t="shared" si="17"/>
        <v>4.0005443732845425E-2</v>
      </c>
    </row>
    <row r="563" spans="1:13" x14ac:dyDescent="0.25">
      <c r="A563" t="s">
        <v>192</v>
      </c>
      <c r="B563" t="s">
        <v>193</v>
      </c>
      <c r="C563" t="s">
        <v>146</v>
      </c>
      <c r="D563" t="s">
        <v>13</v>
      </c>
      <c r="E563" t="s">
        <v>14</v>
      </c>
      <c r="F563" s="1">
        <v>44865</v>
      </c>
      <c r="G563" t="s">
        <v>146</v>
      </c>
      <c r="H563">
        <v>3164.724029</v>
      </c>
      <c r="I563">
        <v>139.25</v>
      </c>
      <c r="J563">
        <v>0</v>
      </c>
      <c r="K563" s="2">
        <f t="shared" si="16"/>
        <v>47271.999858671457</v>
      </c>
      <c r="L563" s="2">
        <v>45895.000319999999</v>
      </c>
      <c r="M563" s="3">
        <f t="shared" si="17"/>
        <v>3.0003258068861838E-2</v>
      </c>
    </row>
    <row r="564" spans="1:13" x14ac:dyDescent="0.25">
      <c r="A564" t="s">
        <v>463</v>
      </c>
      <c r="B564" t="s">
        <v>205</v>
      </c>
      <c r="C564" t="s">
        <v>44</v>
      </c>
      <c r="D564" t="s">
        <v>13</v>
      </c>
      <c r="E564" t="s">
        <v>14</v>
      </c>
      <c r="F564" s="1">
        <v>42856</v>
      </c>
      <c r="G564" t="s">
        <v>44</v>
      </c>
      <c r="H564">
        <v>3263.0538240000001</v>
      </c>
      <c r="I564">
        <v>144</v>
      </c>
      <c r="J564">
        <v>0</v>
      </c>
      <c r="K564" s="2">
        <f t="shared" si="16"/>
        <v>47132.999680000001</v>
      </c>
      <c r="L564" s="2">
        <v>45760</v>
      </c>
      <c r="M564" s="3">
        <f t="shared" si="17"/>
        <v>3.0004363636363607E-2</v>
      </c>
    </row>
    <row r="565" spans="1:13" x14ac:dyDescent="0.25">
      <c r="A565" t="s">
        <v>1048</v>
      </c>
      <c r="B565" t="s">
        <v>196</v>
      </c>
      <c r="C565" t="s">
        <v>44</v>
      </c>
      <c r="D565" t="s">
        <v>13</v>
      </c>
      <c r="E565" t="s">
        <v>14</v>
      </c>
      <c r="F565" s="1">
        <v>43899</v>
      </c>
      <c r="G565" t="s">
        <v>44</v>
      </c>
      <c r="H565">
        <v>2955.6869310000002</v>
      </c>
      <c r="I565">
        <v>130.5</v>
      </c>
      <c r="J565">
        <v>0</v>
      </c>
      <c r="K565" s="2">
        <f t="shared" si="16"/>
        <v>47109.799360000005</v>
      </c>
      <c r="L565" s="2">
        <v>45406.799360000005</v>
      </c>
      <c r="M565" s="3">
        <f t="shared" si="17"/>
        <v>3.7505396196240604E-2</v>
      </c>
    </row>
    <row r="566" spans="1:13" x14ac:dyDescent="0.25">
      <c r="A566" t="s">
        <v>784</v>
      </c>
      <c r="B566" t="s">
        <v>205</v>
      </c>
      <c r="C566" t="s">
        <v>44</v>
      </c>
      <c r="D566" t="s">
        <v>13</v>
      </c>
      <c r="E566" t="s">
        <v>14</v>
      </c>
      <c r="F566" s="1">
        <v>44816</v>
      </c>
      <c r="G566" t="s">
        <v>44</v>
      </c>
      <c r="H566">
        <v>3442.346888</v>
      </c>
      <c r="I566">
        <v>152</v>
      </c>
      <c r="J566">
        <v>0</v>
      </c>
      <c r="K566" s="2">
        <f t="shared" si="16"/>
        <v>47105.79952</v>
      </c>
      <c r="L566" s="2">
        <v>45468.800000000003</v>
      </c>
      <c r="M566" s="3">
        <f t="shared" si="17"/>
        <v>3.6002698993595539E-2</v>
      </c>
    </row>
    <row r="567" spans="1:13" x14ac:dyDescent="0.25">
      <c r="A567" t="s">
        <v>863</v>
      </c>
      <c r="B567" t="s">
        <v>447</v>
      </c>
      <c r="C567" t="s">
        <v>44</v>
      </c>
      <c r="D567" t="s">
        <v>13</v>
      </c>
      <c r="E567" t="s">
        <v>14</v>
      </c>
      <c r="F567" s="1">
        <v>45061</v>
      </c>
      <c r="G567" t="s">
        <v>44</v>
      </c>
      <c r="H567">
        <v>3258.138528</v>
      </c>
      <c r="I567">
        <v>144</v>
      </c>
      <c r="J567">
        <v>0</v>
      </c>
      <c r="K567" s="2">
        <f t="shared" si="16"/>
        <v>47062.000959999998</v>
      </c>
      <c r="L567" s="2">
        <v>45427.000320000079</v>
      </c>
      <c r="M567" s="3">
        <f t="shared" si="17"/>
        <v>3.599182487248842E-2</v>
      </c>
    </row>
    <row r="568" spans="1:13" x14ac:dyDescent="0.25">
      <c r="A568" t="s">
        <v>272</v>
      </c>
      <c r="B568" t="s">
        <v>273</v>
      </c>
      <c r="C568" t="s">
        <v>106</v>
      </c>
      <c r="D568" t="s">
        <v>13</v>
      </c>
      <c r="E568" t="s">
        <v>14</v>
      </c>
      <c r="F568" s="1">
        <v>43570</v>
      </c>
      <c r="G568" t="s">
        <v>106</v>
      </c>
      <c r="H568">
        <v>3000.596704</v>
      </c>
      <c r="I568">
        <v>132.75</v>
      </c>
      <c r="J568">
        <v>0</v>
      </c>
      <c r="K568" s="2">
        <f t="shared" si="16"/>
        <v>47014.999203917141</v>
      </c>
      <c r="L568" s="2">
        <v>45645.999360000002</v>
      </c>
      <c r="M568" s="3">
        <f t="shared" si="17"/>
        <v>2.9991672065718955E-2</v>
      </c>
    </row>
    <row r="569" spans="1:13" x14ac:dyDescent="0.25">
      <c r="A569" t="s">
        <v>298</v>
      </c>
      <c r="B569" t="s">
        <v>292</v>
      </c>
      <c r="C569" t="s">
        <v>12</v>
      </c>
      <c r="D569" t="s">
        <v>13</v>
      </c>
      <c r="E569" t="s">
        <v>14</v>
      </c>
      <c r="F569" s="1">
        <v>43493</v>
      </c>
      <c r="G569" t="s">
        <v>12</v>
      </c>
      <c r="H569">
        <v>3253.9845599999999</v>
      </c>
      <c r="I569">
        <v>144</v>
      </c>
      <c r="J569">
        <v>0</v>
      </c>
      <c r="K569" s="2">
        <f t="shared" si="16"/>
        <v>47001.999199999998</v>
      </c>
      <c r="L569" s="2">
        <v>45968</v>
      </c>
      <c r="M569" s="3">
        <f t="shared" si="17"/>
        <v>2.249389140271485E-2</v>
      </c>
    </row>
    <row r="570" spans="1:13" x14ac:dyDescent="0.25">
      <c r="A570" t="s">
        <v>666</v>
      </c>
      <c r="B570" t="s">
        <v>420</v>
      </c>
      <c r="C570" t="s">
        <v>169</v>
      </c>
      <c r="D570" t="s">
        <v>13</v>
      </c>
      <c r="E570" t="s">
        <v>14</v>
      </c>
      <c r="F570" s="1">
        <v>44376</v>
      </c>
      <c r="G570" t="s">
        <v>169</v>
      </c>
      <c r="H570">
        <v>3222.4675379999999</v>
      </c>
      <c r="I570">
        <v>143</v>
      </c>
      <c r="J570">
        <v>0</v>
      </c>
      <c r="K570" s="2">
        <f t="shared" si="16"/>
        <v>46872.255098181813</v>
      </c>
      <c r="L570" s="2">
        <v>45600.256000000001</v>
      </c>
      <c r="M570" s="3">
        <f t="shared" si="17"/>
        <v>2.789456046434946E-2</v>
      </c>
    </row>
    <row r="571" spans="1:13" x14ac:dyDescent="0.25">
      <c r="A571" t="s">
        <v>639</v>
      </c>
      <c r="B571" t="s">
        <v>292</v>
      </c>
      <c r="C571" t="s">
        <v>31</v>
      </c>
      <c r="D571" t="s">
        <v>13</v>
      </c>
      <c r="E571" t="s">
        <v>14</v>
      </c>
      <c r="F571" s="1">
        <v>45566</v>
      </c>
      <c r="G571" t="s">
        <v>31</v>
      </c>
      <c r="H571">
        <v>3420</v>
      </c>
      <c r="I571">
        <v>152</v>
      </c>
      <c r="J571">
        <v>0</v>
      </c>
      <c r="K571" s="2">
        <f t="shared" si="16"/>
        <v>46800</v>
      </c>
      <c r="L571" s="2">
        <v>46800</v>
      </c>
      <c r="M571" s="3">
        <f t="shared" si="17"/>
        <v>0</v>
      </c>
    </row>
    <row r="572" spans="1:13" x14ac:dyDescent="0.25">
      <c r="A572" t="s">
        <v>210</v>
      </c>
      <c r="B572" t="s">
        <v>211</v>
      </c>
      <c r="C572" t="s">
        <v>44</v>
      </c>
      <c r="D572" t="s">
        <v>13</v>
      </c>
      <c r="E572" t="s">
        <v>14</v>
      </c>
      <c r="F572" s="1">
        <v>44816</v>
      </c>
      <c r="G572" t="s">
        <v>44</v>
      </c>
      <c r="H572">
        <v>3143.7164979999998</v>
      </c>
      <c r="I572">
        <v>139.75</v>
      </c>
      <c r="J572">
        <v>0</v>
      </c>
      <c r="K572" s="2">
        <f t="shared" si="16"/>
        <v>46790.19904</v>
      </c>
      <c r="L572" s="2">
        <v>45427.199999999997</v>
      </c>
      <c r="M572" s="3">
        <f t="shared" si="17"/>
        <v>3.0004029304029345E-2</v>
      </c>
    </row>
    <row r="573" spans="1:13" x14ac:dyDescent="0.25">
      <c r="A573" t="s">
        <v>363</v>
      </c>
      <c r="B573" t="s">
        <v>333</v>
      </c>
      <c r="C573" t="s">
        <v>44</v>
      </c>
      <c r="D573" t="s">
        <v>13</v>
      </c>
      <c r="E573" t="s">
        <v>14</v>
      </c>
      <c r="F573" s="1">
        <v>43164</v>
      </c>
      <c r="G573" t="s">
        <v>44</v>
      </c>
      <c r="H573">
        <v>3239.3214720000001</v>
      </c>
      <c r="I573">
        <v>144</v>
      </c>
      <c r="J573">
        <v>0</v>
      </c>
      <c r="K573" s="2">
        <f t="shared" si="16"/>
        <v>46790.19904</v>
      </c>
      <c r="L573" s="2">
        <v>45427.200000000004</v>
      </c>
      <c r="M573" s="3">
        <f t="shared" si="17"/>
        <v>3.0004029304029123E-2</v>
      </c>
    </row>
    <row r="574" spans="1:13" x14ac:dyDescent="0.25">
      <c r="A574" t="s">
        <v>69</v>
      </c>
      <c r="B574" t="s">
        <v>70</v>
      </c>
      <c r="C574" t="s">
        <v>12</v>
      </c>
      <c r="D574" t="s">
        <v>13</v>
      </c>
      <c r="E574" t="s">
        <v>14</v>
      </c>
      <c r="F574" s="1">
        <v>40336</v>
      </c>
      <c r="G574" t="s">
        <v>12</v>
      </c>
      <c r="H574">
        <v>3098.3017559999998</v>
      </c>
      <c r="I574">
        <v>138</v>
      </c>
      <c r="J574">
        <v>0</v>
      </c>
      <c r="K574" s="2">
        <f t="shared" si="16"/>
        <v>46699.040959999998</v>
      </c>
      <c r="L574" s="2">
        <v>45449.04</v>
      </c>
      <c r="M574" s="3">
        <f t="shared" si="17"/>
        <v>2.7503352326033736E-2</v>
      </c>
    </row>
    <row r="575" spans="1:13" x14ac:dyDescent="0.25">
      <c r="A575" t="s">
        <v>406</v>
      </c>
      <c r="B575" t="s">
        <v>70</v>
      </c>
      <c r="C575" t="s">
        <v>12</v>
      </c>
      <c r="D575" t="s">
        <v>13</v>
      </c>
      <c r="E575" t="s">
        <v>14</v>
      </c>
      <c r="F575" s="1">
        <v>36843</v>
      </c>
      <c r="G575" t="s">
        <v>12</v>
      </c>
      <c r="H575">
        <v>3225.9654719999999</v>
      </c>
      <c r="I575">
        <v>144</v>
      </c>
      <c r="J575">
        <v>0</v>
      </c>
      <c r="K575" s="2">
        <f t="shared" si="16"/>
        <v>46597.279040000001</v>
      </c>
      <c r="L575" s="2">
        <v>45143.280000000006</v>
      </c>
      <c r="M575" s="3">
        <f t="shared" si="17"/>
        <v>3.2208537793443348E-2</v>
      </c>
    </row>
    <row r="576" spans="1:13" x14ac:dyDescent="0.25">
      <c r="A576" t="s">
        <v>190</v>
      </c>
      <c r="B576" t="s">
        <v>189</v>
      </c>
      <c r="C576" t="s">
        <v>191</v>
      </c>
      <c r="D576" t="s">
        <v>13</v>
      </c>
      <c r="E576" t="s">
        <v>14</v>
      </c>
      <c r="F576" s="1">
        <v>44719</v>
      </c>
      <c r="G576" t="s">
        <v>191</v>
      </c>
      <c r="H576">
        <v>3225.9461759999999</v>
      </c>
      <c r="I576">
        <v>144</v>
      </c>
      <c r="J576">
        <v>0</v>
      </c>
      <c r="K576" s="2">
        <f t="shared" si="16"/>
        <v>46597.000319999999</v>
      </c>
      <c r="L576" s="2">
        <v>45240</v>
      </c>
      <c r="M576" s="3">
        <f t="shared" si="17"/>
        <v>2.9995586206896574E-2</v>
      </c>
    </row>
    <row r="577" spans="1:13" x14ac:dyDescent="0.25">
      <c r="A577" t="s">
        <v>452</v>
      </c>
      <c r="B577" t="s">
        <v>70</v>
      </c>
      <c r="C577" t="s">
        <v>12</v>
      </c>
      <c r="D577" t="s">
        <v>13</v>
      </c>
      <c r="E577" t="s">
        <v>14</v>
      </c>
      <c r="F577" s="1">
        <v>44562</v>
      </c>
      <c r="G577" t="s">
        <v>12</v>
      </c>
      <c r="H577">
        <v>3039.0444400000001</v>
      </c>
      <c r="I577">
        <v>136</v>
      </c>
      <c r="J577">
        <v>0</v>
      </c>
      <c r="K577" s="2">
        <f t="shared" si="16"/>
        <v>46479.503200000006</v>
      </c>
      <c r="L577" s="2">
        <v>44821.504000000001</v>
      </c>
      <c r="M577" s="3">
        <f t="shared" si="17"/>
        <v>3.6991154959905126E-2</v>
      </c>
    </row>
    <row r="578" spans="1:13" x14ac:dyDescent="0.25">
      <c r="A578" t="s">
        <v>737</v>
      </c>
      <c r="B578" t="s">
        <v>205</v>
      </c>
      <c r="C578" t="s">
        <v>44</v>
      </c>
      <c r="D578" t="s">
        <v>13</v>
      </c>
      <c r="E578" t="s">
        <v>14</v>
      </c>
      <c r="F578" s="1">
        <v>41253</v>
      </c>
      <c r="G578" t="s">
        <v>44</v>
      </c>
      <c r="H578">
        <v>2207.0812529999998</v>
      </c>
      <c r="I578">
        <v>99</v>
      </c>
      <c r="J578">
        <v>0</v>
      </c>
      <c r="K578" s="2">
        <f t="shared" ref="K578:K641" si="18">(2080/I578)*H578</f>
        <v>46371.000063030297</v>
      </c>
      <c r="L578" s="2">
        <v>45240</v>
      </c>
      <c r="M578" s="3">
        <f t="shared" si="17"/>
        <v>2.5000001393242544E-2</v>
      </c>
    </row>
    <row r="579" spans="1:13" x14ac:dyDescent="0.25">
      <c r="A579" t="s">
        <v>336</v>
      </c>
      <c r="B579" t="s">
        <v>337</v>
      </c>
      <c r="C579" t="s">
        <v>169</v>
      </c>
      <c r="D579" t="s">
        <v>13</v>
      </c>
      <c r="E579" t="s">
        <v>14</v>
      </c>
      <c r="F579" s="1">
        <v>34864</v>
      </c>
      <c r="G579" t="s">
        <v>169</v>
      </c>
      <c r="H579">
        <v>3208.6796899999999</v>
      </c>
      <c r="I579">
        <v>144.25</v>
      </c>
      <c r="J579">
        <v>0</v>
      </c>
      <c r="K579" s="2">
        <f t="shared" si="18"/>
        <v>46267.270399999994</v>
      </c>
      <c r="L579" s="2">
        <v>44919.601024724187</v>
      </c>
      <c r="M579" s="3">
        <f t="shared" ref="M579:M642" si="19">IFERROR((K579/L579)-1,0)</f>
        <v>3.0001810891731484E-2</v>
      </c>
    </row>
    <row r="580" spans="1:13" x14ac:dyDescent="0.25">
      <c r="A580" t="s">
        <v>553</v>
      </c>
      <c r="B580" t="s">
        <v>218</v>
      </c>
      <c r="C580" t="s">
        <v>263</v>
      </c>
      <c r="D580" t="s">
        <v>13</v>
      </c>
      <c r="E580" t="s">
        <v>14</v>
      </c>
      <c r="F580" s="1">
        <v>43598</v>
      </c>
      <c r="G580" t="s">
        <v>263</v>
      </c>
      <c r="H580">
        <v>3376.9102809999999</v>
      </c>
      <c r="I580">
        <v>152</v>
      </c>
      <c r="J580">
        <v>0</v>
      </c>
      <c r="K580" s="2">
        <f t="shared" si="18"/>
        <v>46210.351213684211</v>
      </c>
      <c r="L580" s="2">
        <v>44864.352000000006</v>
      </c>
      <c r="M580" s="3">
        <f t="shared" si="19"/>
        <v>3.0001530250213015E-2</v>
      </c>
    </row>
    <row r="581" spans="1:13" x14ac:dyDescent="0.25">
      <c r="A581" t="s">
        <v>822</v>
      </c>
      <c r="B581" t="s">
        <v>186</v>
      </c>
      <c r="C581" t="s">
        <v>12</v>
      </c>
      <c r="D581" t="s">
        <v>13</v>
      </c>
      <c r="E581" t="s">
        <v>14</v>
      </c>
      <c r="F581" s="1">
        <v>42100</v>
      </c>
      <c r="G581" t="s">
        <v>12</v>
      </c>
      <c r="H581">
        <v>3286.2876080000001</v>
      </c>
      <c r="I581">
        <v>148</v>
      </c>
      <c r="J581">
        <v>0</v>
      </c>
      <c r="K581" s="2">
        <f t="shared" si="18"/>
        <v>46185.663680000005</v>
      </c>
      <c r="L581" s="2">
        <v>44409.664000000004</v>
      </c>
      <c r="M581" s="3">
        <f t="shared" si="19"/>
        <v>3.9991288382636769E-2</v>
      </c>
    </row>
    <row r="582" spans="1:13" x14ac:dyDescent="0.25">
      <c r="A582" t="s">
        <v>894</v>
      </c>
      <c r="B582" t="s">
        <v>70</v>
      </c>
      <c r="C582" t="s">
        <v>342</v>
      </c>
      <c r="D582" t="s">
        <v>13</v>
      </c>
      <c r="E582" t="s">
        <v>14</v>
      </c>
      <c r="F582" s="1">
        <v>37530</v>
      </c>
      <c r="G582" t="s">
        <v>342</v>
      </c>
      <c r="H582">
        <v>2486.8932479999999</v>
      </c>
      <c r="I582">
        <v>112</v>
      </c>
      <c r="J582">
        <v>0</v>
      </c>
      <c r="K582" s="2">
        <f t="shared" si="18"/>
        <v>46185.160320000003</v>
      </c>
      <c r="L582" s="2">
        <v>44516.160000000003</v>
      </c>
      <c r="M582" s="3">
        <f t="shared" si="19"/>
        <v>3.7492010092514683E-2</v>
      </c>
    </row>
    <row r="583" spans="1:13" x14ac:dyDescent="0.25">
      <c r="A583" t="s">
        <v>1032</v>
      </c>
      <c r="B583" t="s">
        <v>193</v>
      </c>
      <c r="C583" t="s">
        <v>146</v>
      </c>
      <c r="D583" t="s">
        <v>13</v>
      </c>
      <c r="E583" t="s">
        <v>14</v>
      </c>
      <c r="F583" s="1">
        <v>44865</v>
      </c>
      <c r="G583" t="s">
        <v>146</v>
      </c>
      <c r="H583">
        <v>3259.3716119999999</v>
      </c>
      <c r="I583">
        <v>147</v>
      </c>
      <c r="J583">
        <v>0</v>
      </c>
      <c r="K583" s="2">
        <f t="shared" si="18"/>
        <v>46118.999680000001</v>
      </c>
      <c r="L583" s="2">
        <v>44775.999840000004</v>
      </c>
      <c r="M583" s="3">
        <f t="shared" si="19"/>
        <v>2.9993743183825972E-2</v>
      </c>
    </row>
    <row r="584" spans="1:13" x14ac:dyDescent="0.25">
      <c r="A584" t="s">
        <v>252</v>
      </c>
      <c r="B584" t="s">
        <v>22</v>
      </c>
      <c r="C584" t="s">
        <v>191</v>
      </c>
      <c r="D584" t="s">
        <v>13</v>
      </c>
      <c r="E584" t="s">
        <v>14</v>
      </c>
      <c r="F584" s="1">
        <v>38740</v>
      </c>
      <c r="G584" t="s">
        <v>191</v>
      </c>
      <c r="H584">
        <v>2834.5845760000002</v>
      </c>
      <c r="I584">
        <v>128</v>
      </c>
      <c r="J584">
        <v>0</v>
      </c>
      <c r="K584" s="2">
        <f t="shared" si="18"/>
        <v>46061.999360000002</v>
      </c>
      <c r="L584" s="2">
        <v>44720</v>
      </c>
      <c r="M584" s="3">
        <f t="shared" si="19"/>
        <v>3.0008930232558129E-2</v>
      </c>
    </row>
    <row r="585" spans="1:13" x14ac:dyDescent="0.25">
      <c r="A585" t="s">
        <v>499</v>
      </c>
      <c r="B585" t="s">
        <v>22</v>
      </c>
      <c r="C585" t="s">
        <v>191</v>
      </c>
      <c r="D585" t="s">
        <v>13</v>
      </c>
      <c r="E585" t="s">
        <v>14</v>
      </c>
      <c r="F585" s="1">
        <v>41393</v>
      </c>
      <c r="G585" t="s">
        <v>191</v>
      </c>
      <c r="H585">
        <v>3188.9076479999999</v>
      </c>
      <c r="I585">
        <v>144</v>
      </c>
      <c r="J585">
        <v>0</v>
      </c>
      <c r="K585" s="2">
        <f t="shared" si="18"/>
        <v>46061.999360000002</v>
      </c>
      <c r="L585" s="2">
        <v>44720</v>
      </c>
      <c r="M585" s="3">
        <f t="shared" si="19"/>
        <v>3.0008930232558129E-2</v>
      </c>
    </row>
    <row r="586" spans="1:13" x14ac:dyDescent="0.25">
      <c r="A586" t="s">
        <v>673</v>
      </c>
      <c r="B586" t="s">
        <v>394</v>
      </c>
      <c r="C586" t="s">
        <v>44</v>
      </c>
      <c r="D586" t="s">
        <v>13</v>
      </c>
      <c r="E586" t="s">
        <v>14</v>
      </c>
      <c r="F586" s="1">
        <v>44158</v>
      </c>
      <c r="G586" t="s">
        <v>44</v>
      </c>
      <c r="H586">
        <v>3188.9076479999999</v>
      </c>
      <c r="I586">
        <v>144</v>
      </c>
      <c r="J586">
        <v>0</v>
      </c>
      <c r="K586" s="2">
        <f t="shared" si="18"/>
        <v>46061.999360000002</v>
      </c>
      <c r="L586" s="2">
        <v>44720</v>
      </c>
      <c r="M586" s="3">
        <f t="shared" si="19"/>
        <v>3.0008930232558129E-2</v>
      </c>
    </row>
    <row r="587" spans="1:13" x14ac:dyDescent="0.25">
      <c r="A587" t="s">
        <v>697</v>
      </c>
      <c r="B587" t="s">
        <v>70</v>
      </c>
      <c r="C587" t="s">
        <v>12</v>
      </c>
      <c r="D587" t="s">
        <v>13</v>
      </c>
      <c r="E587" t="s">
        <v>14</v>
      </c>
      <c r="F587" s="1">
        <v>45020</v>
      </c>
      <c r="G587" t="s">
        <v>12</v>
      </c>
      <c r="H587">
        <v>3168.1346400000002</v>
      </c>
      <c r="I587">
        <v>144</v>
      </c>
      <c r="J587">
        <v>0</v>
      </c>
      <c r="K587" s="2">
        <f t="shared" si="18"/>
        <v>45761.944800000005</v>
      </c>
      <c r="L587" s="2">
        <v>42648.944000000003</v>
      </c>
      <c r="M587" s="3">
        <f t="shared" si="19"/>
        <v>7.2991275000853451E-2</v>
      </c>
    </row>
    <row r="588" spans="1:13" x14ac:dyDescent="0.25">
      <c r="A588" t="s">
        <v>373</v>
      </c>
      <c r="B588" t="s">
        <v>54</v>
      </c>
      <c r="C588" t="s">
        <v>41</v>
      </c>
      <c r="D588" t="s">
        <v>13</v>
      </c>
      <c r="E588" t="s">
        <v>14</v>
      </c>
      <c r="F588" s="1">
        <v>45719</v>
      </c>
      <c r="G588" t="s">
        <v>41</v>
      </c>
      <c r="H588">
        <v>3311</v>
      </c>
      <c r="I588">
        <v>150.5</v>
      </c>
      <c r="J588">
        <v>0</v>
      </c>
      <c r="K588" s="2">
        <f t="shared" si="18"/>
        <v>45760</v>
      </c>
      <c r="L588" s="2">
        <v>45760</v>
      </c>
      <c r="M588" s="3">
        <f t="shared" si="19"/>
        <v>0</v>
      </c>
    </row>
    <row r="589" spans="1:13" x14ac:dyDescent="0.25">
      <c r="A589" t="s">
        <v>980</v>
      </c>
      <c r="B589" t="s">
        <v>189</v>
      </c>
      <c r="C589" t="s">
        <v>191</v>
      </c>
      <c r="D589" t="s">
        <v>13</v>
      </c>
      <c r="E589" t="s">
        <v>14</v>
      </c>
      <c r="F589" s="1">
        <v>45208</v>
      </c>
      <c r="G589" t="s">
        <v>191</v>
      </c>
      <c r="H589">
        <v>3161.0160000000001</v>
      </c>
      <c r="I589">
        <v>144</v>
      </c>
      <c r="J589">
        <v>0</v>
      </c>
      <c r="K589" s="2">
        <f t="shared" si="18"/>
        <v>45659.12</v>
      </c>
      <c r="L589" s="2">
        <v>43160</v>
      </c>
      <c r="M589" s="3">
        <f t="shared" si="19"/>
        <v>5.7903614457831321E-2</v>
      </c>
    </row>
    <row r="590" spans="1:13" x14ac:dyDescent="0.25">
      <c r="A590" t="s">
        <v>188</v>
      </c>
      <c r="B590" t="s">
        <v>189</v>
      </c>
      <c r="C590" t="s">
        <v>31</v>
      </c>
      <c r="D590" t="s">
        <v>13</v>
      </c>
      <c r="E590" t="s">
        <v>14</v>
      </c>
      <c r="F590" s="1">
        <v>45257</v>
      </c>
      <c r="G590" t="s">
        <v>31</v>
      </c>
      <c r="H590">
        <v>3157.8923519999998</v>
      </c>
      <c r="I590">
        <v>144</v>
      </c>
      <c r="J590">
        <v>0</v>
      </c>
      <c r="K590" s="2">
        <f t="shared" si="18"/>
        <v>45614.000639999998</v>
      </c>
      <c r="L590" s="2">
        <v>44720</v>
      </c>
      <c r="M590" s="3">
        <f t="shared" si="19"/>
        <v>1.9991069767441916E-2</v>
      </c>
    </row>
    <row r="591" spans="1:13" x14ac:dyDescent="0.25">
      <c r="A591" t="s">
        <v>732</v>
      </c>
      <c r="B591" t="s">
        <v>437</v>
      </c>
      <c r="C591" t="s">
        <v>342</v>
      </c>
      <c r="D591" t="s">
        <v>13</v>
      </c>
      <c r="E591" t="s">
        <v>14</v>
      </c>
      <c r="F591" s="1">
        <v>44690</v>
      </c>
      <c r="G591" t="s">
        <v>342</v>
      </c>
      <c r="H591">
        <v>3062.8765739999999</v>
      </c>
      <c r="I591">
        <v>139.75</v>
      </c>
      <c r="J591">
        <v>0</v>
      </c>
      <c r="K591" s="2">
        <f t="shared" si="18"/>
        <v>45587.000171162792</v>
      </c>
      <c r="L591" s="2">
        <v>43264</v>
      </c>
      <c r="M591" s="3">
        <f t="shared" si="19"/>
        <v>5.3693606027246377E-2</v>
      </c>
    </row>
    <row r="592" spans="1:13" x14ac:dyDescent="0.25">
      <c r="A592" t="s">
        <v>899</v>
      </c>
      <c r="B592" t="s">
        <v>196</v>
      </c>
      <c r="C592" t="s">
        <v>44</v>
      </c>
      <c r="D592" t="s">
        <v>13</v>
      </c>
      <c r="E592" t="s">
        <v>14</v>
      </c>
      <c r="F592" s="1">
        <v>42955</v>
      </c>
      <c r="G592" t="s">
        <v>44</v>
      </c>
      <c r="H592">
        <v>3303.4568880000002</v>
      </c>
      <c r="I592">
        <v>152</v>
      </c>
      <c r="J592">
        <v>0</v>
      </c>
      <c r="K592" s="2">
        <f t="shared" si="18"/>
        <v>45205.199520000002</v>
      </c>
      <c r="L592" s="2">
        <v>43888.199680000005</v>
      </c>
      <c r="M592" s="3">
        <f t="shared" si="19"/>
        <v>3.0008062522559165E-2</v>
      </c>
    </row>
    <row r="593" spans="1:13" x14ac:dyDescent="0.25">
      <c r="A593" t="s">
        <v>453</v>
      </c>
      <c r="B593" t="s">
        <v>211</v>
      </c>
      <c r="C593" t="s">
        <v>44</v>
      </c>
      <c r="D593" t="s">
        <v>13</v>
      </c>
      <c r="E593" t="s">
        <v>14</v>
      </c>
      <c r="F593" s="1">
        <v>45145</v>
      </c>
      <c r="G593" t="s">
        <v>44</v>
      </c>
      <c r="H593">
        <v>3122.307648</v>
      </c>
      <c r="I593">
        <v>144</v>
      </c>
      <c r="J593">
        <v>0</v>
      </c>
      <c r="K593" s="2">
        <f t="shared" si="18"/>
        <v>45099.999360000002</v>
      </c>
      <c r="L593" s="2">
        <v>43680</v>
      </c>
      <c r="M593" s="3">
        <f t="shared" si="19"/>
        <v>3.2509142857142903E-2</v>
      </c>
    </row>
    <row r="594" spans="1:13" x14ac:dyDescent="0.25">
      <c r="A594" t="s">
        <v>707</v>
      </c>
      <c r="B594" t="s">
        <v>59</v>
      </c>
      <c r="C594" t="s">
        <v>708</v>
      </c>
      <c r="D594" t="s">
        <v>13</v>
      </c>
      <c r="E594" t="s">
        <v>14</v>
      </c>
      <c r="F594" s="1">
        <v>45390</v>
      </c>
      <c r="G594" t="s">
        <v>708</v>
      </c>
      <c r="H594">
        <v>3114.692352</v>
      </c>
      <c r="I594">
        <v>144</v>
      </c>
      <c r="J594">
        <v>0</v>
      </c>
      <c r="K594" s="2">
        <f t="shared" si="18"/>
        <v>44990.000639999998</v>
      </c>
      <c r="L594" s="2">
        <v>43680</v>
      </c>
      <c r="M594" s="3">
        <f t="shared" si="19"/>
        <v>2.9990857142857097E-2</v>
      </c>
    </row>
    <row r="595" spans="1:13" x14ac:dyDescent="0.25">
      <c r="A595" t="s">
        <v>871</v>
      </c>
      <c r="B595" t="s">
        <v>588</v>
      </c>
      <c r="C595" t="s">
        <v>872</v>
      </c>
      <c r="D595" t="s">
        <v>13</v>
      </c>
      <c r="E595" t="s">
        <v>14</v>
      </c>
      <c r="F595" s="1">
        <v>45320</v>
      </c>
      <c r="G595" t="s">
        <v>872</v>
      </c>
      <c r="H595">
        <v>1930.460364</v>
      </c>
      <c r="I595">
        <v>89.25</v>
      </c>
      <c r="J595">
        <v>0</v>
      </c>
      <c r="K595" s="2">
        <f t="shared" si="18"/>
        <v>44990.000639999998</v>
      </c>
      <c r="L595" s="2">
        <v>43680</v>
      </c>
      <c r="M595" s="3">
        <f t="shared" si="19"/>
        <v>2.9990857142857097E-2</v>
      </c>
    </row>
    <row r="596" spans="1:13" x14ac:dyDescent="0.25">
      <c r="A596" t="s">
        <v>374</v>
      </c>
      <c r="B596" t="s">
        <v>375</v>
      </c>
      <c r="C596" t="s">
        <v>44</v>
      </c>
      <c r="D596" t="s">
        <v>13</v>
      </c>
      <c r="E596" t="s">
        <v>14</v>
      </c>
      <c r="F596" s="1">
        <v>44774</v>
      </c>
      <c r="G596" t="s">
        <v>44</v>
      </c>
      <c r="H596">
        <v>3243.4759509999999</v>
      </c>
      <c r="I596">
        <v>150</v>
      </c>
      <c r="J596">
        <v>0</v>
      </c>
      <c r="K596" s="2">
        <f t="shared" si="18"/>
        <v>44976.199853866667</v>
      </c>
      <c r="L596" s="2">
        <v>44094.200850442227</v>
      </c>
      <c r="M596" s="3">
        <f t="shared" si="19"/>
        <v>2.0002607744632472E-2</v>
      </c>
    </row>
    <row r="597" spans="1:13" x14ac:dyDescent="0.25">
      <c r="A597" t="s">
        <v>723</v>
      </c>
      <c r="B597" t="s">
        <v>70</v>
      </c>
      <c r="C597" t="s">
        <v>12</v>
      </c>
      <c r="D597" t="s">
        <v>13</v>
      </c>
      <c r="E597" t="s">
        <v>14</v>
      </c>
      <c r="F597" s="1">
        <v>43731</v>
      </c>
      <c r="G597" t="s">
        <v>12</v>
      </c>
      <c r="H597">
        <v>3272.4535999999998</v>
      </c>
      <c r="I597">
        <v>152</v>
      </c>
      <c r="J597">
        <v>0</v>
      </c>
      <c r="K597" s="2">
        <f t="shared" si="18"/>
        <v>44780.943999999996</v>
      </c>
      <c r="L597" s="2">
        <v>42648.944000000003</v>
      </c>
      <c r="M597" s="3">
        <f t="shared" si="19"/>
        <v>4.9989514394541468E-2</v>
      </c>
    </row>
    <row r="598" spans="1:13" x14ac:dyDescent="0.25">
      <c r="A598" t="s">
        <v>671</v>
      </c>
      <c r="B598" t="s">
        <v>337</v>
      </c>
      <c r="C598" t="s">
        <v>169</v>
      </c>
      <c r="D598" t="s">
        <v>13</v>
      </c>
      <c r="E598" t="s">
        <v>14</v>
      </c>
      <c r="F598" s="1">
        <v>38383</v>
      </c>
      <c r="G598" t="s">
        <v>169</v>
      </c>
      <c r="H598">
        <v>2767.477003</v>
      </c>
      <c r="I598">
        <v>128.75</v>
      </c>
      <c r="J598">
        <v>0</v>
      </c>
      <c r="K598" s="2">
        <f t="shared" si="18"/>
        <v>44709.531388271847</v>
      </c>
      <c r="L598" s="2">
        <v>43407.399378654707</v>
      </c>
      <c r="M598" s="3">
        <f t="shared" si="19"/>
        <v>2.9997927271760316E-2</v>
      </c>
    </row>
    <row r="599" spans="1:13" x14ac:dyDescent="0.25">
      <c r="A599" t="s">
        <v>799</v>
      </c>
      <c r="B599" t="s">
        <v>11</v>
      </c>
      <c r="C599" t="s">
        <v>12</v>
      </c>
      <c r="D599" t="s">
        <v>13</v>
      </c>
      <c r="E599" t="s">
        <v>14</v>
      </c>
      <c r="F599" s="1">
        <v>44025</v>
      </c>
      <c r="G599" t="s">
        <v>12</v>
      </c>
      <c r="H599">
        <v>2922.0908380000001</v>
      </c>
      <c r="I599">
        <v>136</v>
      </c>
      <c r="J599">
        <v>0</v>
      </c>
      <c r="K599" s="2">
        <f t="shared" si="18"/>
        <v>44690.801051764713</v>
      </c>
      <c r="L599" s="2">
        <v>43388.800000000003</v>
      </c>
      <c r="M599" s="3">
        <f t="shared" si="19"/>
        <v>3.0007768174383997E-2</v>
      </c>
    </row>
    <row r="600" spans="1:13" x14ac:dyDescent="0.25">
      <c r="A600" t="s">
        <v>291</v>
      </c>
      <c r="B600" t="s">
        <v>292</v>
      </c>
      <c r="C600" t="s">
        <v>293</v>
      </c>
      <c r="D600" t="s">
        <v>13</v>
      </c>
      <c r="E600" t="s">
        <v>14</v>
      </c>
      <c r="F600" s="1">
        <v>44655</v>
      </c>
      <c r="G600" t="s">
        <v>293</v>
      </c>
      <c r="H600">
        <v>3092.0538240000001</v>
      </c>
      <c r="I600">
        <v>144</v>
      </c>
      <c r="J600">
        <v>0</v>
      </c>
      <c r="K600" s="2">
        <f t="shared" si="18"/>
        <v>44662.999680000001</v>
      </c>
      <c r="L600" s="2">
        <v>43680</v>
      </c>
      <c r="M600" s="3">
        <f t="shared" si="19"/>
        <v>2.2504571428571429E-2</v>
      </c>
    </row>
    <row r="601" spans="1:13" x14ac:dyDescent="0.25">
      <c r="A601" t="s">
        <v>819</v>
      </c>
      <c r="B601" t="s">
        <v>97</v>
      </c>
      <c r="C601" t="s">
        <v>342</v>
      </c>
      <c r="D601" t="s">
        <v>13</v>
      </c>
      <c r="E601" t="s">
        <v>14</v>
      </c>
      <c r="F601" s="1">
        <v>44747</v>
      </c>
      <c r="G601" t="s">
        <v>342</v>
      </c>
      <c r="H601">
        <v>3176.8911880000001</v>
      </c>
      <c r="I601">
        <v>148</v>
      </c>
      <c r="J601">
        <v>0</v>
      </c>
      <c r="K601" s="2">
        <f t="shared" si="18"/>
        <v>44648.20048</v>
      </c>
      <c r="L601" s="2">
        <v>43243.200000000004</v>
      </c>
      <c r="M601" s="3">
        <f t="shared" si="19"/>
        <v>3.2490668590668514E-2</v>
      </c>
    </row>
    <row r="602" spans="1:13" x14ac:dyDescent="0.25">
      <c r="A602" t="s">
        <v>713</v>
      </c>
      <c r="B602" t="s">
        <v>201</v>
      </c>
      <c r="C602" t="s">
        <v>263</v>
      </c>
      <c r="D602" t="s">
        <v>13</v>
      </c>
      <c r="E602" t="s">
        <v>14</v>
      </c>
      <c r="F602" s="1">
        <v>45209</v>
      </c>
      <c r="G602" t="s">
        <v>263</v>
      </c>
      <c r="H602">
        <v>3256.5268940000001</v>
      </c>
      <c r="I602">
        <v>152</v>
      </c>
      <c r="J602">
        <v>0</v>
      </c>
      <c r="K602" s="2">
        <f t="shared" si="18"/>
        <v>44562.999602105265</v>
      </c>
      <c r="L602" s="2">
        <v>43056</v>
      </c>
      <c r="M602" s="3">
        <f t="shared" si="19"/>
        <v>3.5000919781337458E-2</v>
      </c>
    </row>
    <row r="603" spans="1:13" x14ac:dyDescent="0.25">
      <c r="A603" t="s">
        <v>726</v>
      </c>
      <c r="B603" t="s">
        <v>78</v>
      </c>
      <c r="C603" t="s">
        <v>31</v>
      </c>
      <c r="D603" t="s">
        <v>13</v>
      </c>
      <c r="E603" t="s">
        <v>14</v>
      </c>
      <c r="F603" s="1">
        <v>44460</v>
      </c>
      <c r="G603" t="s">
        <v>31</v>
      </c>
      <c r="H603">
        <v>3256.4537770000002</v>
      </c>
      <c r="I603">
        <v>152</v>
      </c>
      <c r="J603">
        <v>0</v>
      </c>
      <c r="K603" s="2">
        <f t="shared" si="18"/>
        <v>44561.999053684216</v>
      </c>
      <c r="L603" s="2">
        <v>43264</v>
      </c>
      <c r="M603" s="3">
        <f t="shared" si="19"/>
        <v>3.0001827239372503E-2</v>
      </c>
    </row>
    <row r="604" spans="1:13" x14ac:dyDescent="0.25">
      <c r="A604" t="s">
        <v>771</v>
      </c>
      <c r="B604" t="s">
        <v>70</v>
      </c>
      <c r="C604" t="s">
        <v>12</v>
      </c>
      <c r="D604" t="s">
        <v>13</v>
      </c>
      <c r="E604" t="s">
        <v>14</v>
      </c>
      <c r="F604" s="1">
        <v>43892</v>
      </c>
      <c r="G604" t="s">
        <v>12</v>
      </c>
      <c r="H604">
        <v>2910.8576400000002</v>
      </c>
      <c r="I604">
        <v>136</v>
      </c>
      <c r="J604">
        <v>0</v>
      </c>
      <c r="K604" s="2">
        <f t="shared" si="18"/>
        <v>44518.999200000006</v>
      </c>
      <c r="L604" s="2">
        <v>42848.000000000007</v>
      </c>
      <c r="M604" s="3">
        <f t="shared" si="19"/>
        <v>3.8998300970873645E-2</v>
      </c>
    </row>
    <row r="605" spans="1:13" x14ac:dyDescent="0.25">
      <c r="A605" t="s">
        <v>1014</v>
      </c>
      <c r="B605" t="s">
        <v>420</v>
      </c>
      <c r="C605" t="s">
        <v>169</v>
      </c>
      <c r="D605" t="s">
        <v>13</v>
      </c>
      <c r="E605" t="s">
        <v>14</v>
      </c>
      <c r="F605" s="1">
        <v>45012</v>
      </c>
      <c r="G605" t="s">
        <v>169</v>
      </c>
      <c r="H605">
        <v>2883.5722510000001</v>
      </c>
      <c r="I605">
        <v>134.75</v>
      </c>
      <c r="J605">
        <v>0</v>
      </c>
      <c r="K605" s="2">
        <f t="shared" si="18"/>
        <v>44510.799867012989</v>
      </c>
      <c r="L605" s="2">
        <v>43180.800000000003</v>
      </c>
      <c r="M605" s="3">
        <f t="shared" si="19"/>
        <v>3.0800723168931343E-2</v>
      </c>
    </row>
    <row r="606" spans="1:13" x14ac:dyDescent="0.25">
      <c r="A606" t="s">
        <v>319</v>
      </c>
      <c r="B606" t="s">
        <v>22</v>
      </c>
      <c r="C606" t="s">
        <v>191</v>
      </c>
      <c r="D606" t="s">
        <v>13</v>
      </c>
      <c r="E606" t="s">
        <v>14</v>
      </c>
      <c r="F606" s="1">
        <v>44810</v>
      </c>
      <c r="G606" t="s">
        <v>191</v>
      </c>
      <c r="H606">
        <v>2885.3004599999999</v>
      </c>
      <c r="I606">
        <v>135</v>
      </c>
      <c r="J606">
        <v>0</v>
      </c>
      <c r="K606" s="2">
        <f t="shared" si="18"/>
        <v>44454.999679999994</v>
      </c>
      <c r="L606" s="2">
        <v>43160</v>
      </c>
      <c r="M606" s="3">
        <f t="shared" si="19"/>
        <v>3.0004626506023868E-2</v>
      </c>
    </row>
    <row r="607" spans="1:13" x14ac:dyDescent="0.25">
      <c r="A607" t="s">
        <v>564</v>
      </c>
      <c r="B607" t="s">
        <v>186</v>
      </c>
      <c r="C607" t="s">
        <v>12</v>
      </c>
      <c r="D607" t="s">
        <v>13</v>
      </c>
      <c r="E607" t="s">
        <v>14</v>
      </c>
      <c r="F607" s="1">
        <v>42067</v>
      </c>
      <c r="G607" t="s">
        <v>12</v>
      </c>
      <c r="H607">
        <v>3074.5932480000001</v>
      </c>
      <c r="I607">
        <v>144</v>
      </c>
      <c r="J607">
        <v>0</v>
      </c>
      <c r="K607" s="2">
        <f t="shared" si="18"/>
        <v>44410.791360000003</v>
      </c>
      <c r="L607" s="2">
        <v>42743.792000000001</v>
      </c>
      <c r="M607" s="3">
        <f t="shared" si="19"/>
        <v>3.8999800485647107E-2</v>
      </c>
    </row>
    <row r="608" spans="1:13" x14ac:dyDescent="0.25">
      <c r="A608" t="s">
        <v>763</v>
      </c>
      <c r="B608" t="s">
        <v>196</v>
      </c>
      <c r="C608" t="s">
        <v>44</v>
      </c>
      <c r="D608" t="s">
        <v>13</v>
      </c>
      <c r="E608" t="s">
        <v>14</v>
      </c>
      <c r="F608" s="1">
        <v>43955</v>
      </c>
      <c r="G608" t="s">
        <v>44</v>
      </c>
      <c r="H608">
        <v>2682.4046880000001</v>
      </c>
      <c r="I608">
        <v>125.75</v>
      </c>
      <c r="J608">
        <v>0</v>
      </c>
      <c r="K608" s="2">
        <f t="shared" si="18"/>
        <v>44369.000008270385</v>
      </c>
      <c r="L608" s="2">
        <v>43076.999680000001</v>
      </c>
      <c r="M608" s="3">
        <f t="shared" si="19"/>
        <v>2.9992811427631549E-2</v>
      </c>
    </row>
    <row r="609" spans="1:13" x14ac:dyDescent="0.25">
      <c r="A609" t="s">
        <v>868</v>
      </c>
      <c r="B609" t="s">
        <v>22</v>
      </c>
      <c r="C609" t="s">
        <v>191</v>
      </c>
      <c r="D609" t="s">
        <v>13</v>
      </c>
      <c r="E609" t="s">
        <v>14</v>
      </c>
      <c r="F609" s="1">
        <v>45096</v>
      </c>
      <c r="G609" t="s">
        <v>191</v>
      </c>
      <c r="H609">
        <v>3070.1076480000002</v>
      </c>
      <c r="I609">
        <v>144</v>
      </c>
      <c r="J609">
        <v>0</v>
      </c>
      <c r="K609" s="2">
        <f t="shared" si="18"/>
        <v>44345.999360000002</v>
      </c>
      <c r="L609" s="2">
        <v>42640</v>
      </c>
      <c r="M609" s="3">
        <f t="shared" si="19"/>
        <v>4.0009365853658663E-2</v>
      </c>
    </row>
    <row r="610" spans="1:13" x14ac:dyDescent="0.25">
      <c r="A610" t="s">
        <v>144</v>
      </c>
      <c r="B610" t="s">
        <v>145</v>
      </c>
      <c r="C610" t="s">
        <v>146</v>
      </c>
      <c r="D610" t="s">
        <v>13</v>
      </c>
      <c r="E610" t="s">
        <v>14</v>
      </c>
      <c r="F610" s="1">
        <v>44571</v>
      </c>
      <c r="G610" t="s">
        <v>146</v>
      </c>
      <c r="H610">
        <v>3240.5962239999999</v>
      </c>
      <c r="I610">
        <v>152</v>
      </c>
      <c r="J610">
        <v>0</v>
      </c>
      <c r="K610" s="2">
        <f t="shared" si="18"/>
        <v>44345.000959999998</v>
      </c>
      <c r="L610" s="2">
        <v>43053.000640000006</v>
      </c>
      <c r="M610" s="3">
        <f t="shared" si="19"/>
        <v>3.0009530132485418E-2</v>
      </c>
    </row>
    <row r="611" spans="1:13" x14ac:dyDescent="0.25">
      <c r="A611" t="s">
        <v>787</v>
      </c>
      <c r="B611" t="s">
        <v>695</v>
      </c>
      <c r="C611" t="s">
        <v>236</v>
      </c>
      <c r="D611" t="s">
        <v>13</v>
      </c>
      <c r="E611" t="s">
        <v>14</v>
      </c>
      <c r="F611" s="1">
        <v>44480</v>
      </c>
      <c r="G611" t="s">
        <v>236</v>
      </c>
      <c r="H611">
        <v>3067.749937</v>
      </c>
      <c r="I611">
        <v>144</v>
      </c>
      <c r="J611">
        <v>0</v>
      </c>
      <c r="K611" s="2">
        <f t="shared" si="18"/>
        <v>44311.943534444443</v>
      </c>
      <c r="L611" s="2">
        <v>42648.944000000003</v>
      </c>
      <c r="M611" s="3">
        <f t="shared" si="19"/>
        <v>3.89927482013257E-2</v>
      </c>
    </row>
    <row r="612" spans="1:13" x14ac:dyDescent="0.25">
      <c r="A612" t="s">
        <v>846</v>
      </c>
      <c r="B612" t="s">
        <v>22</v>
      </c>
      <c r="C612" t="s">
        <v>191</v>
      </c>
      <c r="D612" t="s">
        <v>13</v>
      </c>
      <c r="E612" t="s">
        <v>14</v>
      </c>
      <c r="F612" s="1">
        <v>44845</v>
      </c>
      <c r="G612" t="s">
        <v>191</v>
      </c>
      <c r="H612">
        <v>2211.9499999999998</v>
      </c>
      <c r="I612">
        <v>104</v>
      </c>
      <c r="J612">
        <v>0</v>
      </c>
      <c r="K612" s="2">
        <f t="shared" si="18"/>
        <v>44239</v>
      </c>
      <c r="L612" s="2">
        <v>43160</v>
      </c>
      <c r="M612" s="3">
        <f t="shared" si="19"/>
        <v>2.4999999999999911E-2</v>
      </c>
    </row>
    <row r="613" spans="1:13" x14ac:dyDescent="0.25">
      <c r="A613" t="s">
        <v>503</v>
      </c>
      <c r="B613" t="s">
        <v>292</v>
      </c>
      <c r="C613" t="s">
        <v>12</v>
      </c>
      <c r="D613" t="s">
        <v>13</v>
      </c>
      <c r="E613" t="s">
        <v>14</v>
      </c>
      <c r="F613" s="1">
        <v>44501</v>
      </c>
      <c r="G613" t="s">
        <v>12</v>
      </c>
      <c r="H613">
        <v>3211.9200139999998</v>
      </c>
      <c r="I613">
        <v>151.75</v>
      </c>
      <c r="J613">
        <v>0</v>
      </c>
      <c r="K613" s="2">
        <f t="shared" si="18"/>
        <v>44024.999203426683</v>
      </c>
      <c r="L613" s="2">
        <v>43056.000000000007</v>
      </c>
      <c r="M613" s="3">
        <f t="shared" si="19"/>
        <v>2.2505555635142116E-2</v>
      </c>
    </row>
    <row r="614" spans="1:13" x14ac:dyDescent="0.25">
      <c r="A614" t="s">
        <v>870</v>
      </c>
      <c r="B614" t="s">
        <v>240</v>
      </c>
      <c r="C614" t="s">
        <v>263</v>
      </c>
      <c r="D614" t="s">
        <v>13</v>
      </c>
      <c r="E614" t="s">
        <v>14</v>
      </c>
      <c r="F614" s="1">
        <v>42226</v>
      </c>
      <c r="G614" t="s">
        <v>263</v>
      </c>
      <c r="H614">
        <v>3088.9407000000001</v>
      </c>
      <c r="I614">
        <v>146.25</v>
      </c>
      <c r="J614">
        <v>0</v>
      </c>
      <c r="K614" s="2">
        <f t="shared" si="18"/>
        <v>43931.601066666663</v>
      </c>
      <c r="L614" s="2">
        <v>42241.601048510638</v>
      </c>
      <c r="M614" s="3">
        <f t="shared" si="19"/>
        <v>4.0007953680903707E-2</v>
      </c>
    </row>
    <row r="615" spans="1:13" x14ac:dyDescent="0.25">
      <c r="A615" t="s">
        <v>656</v>
      </c>
      <c r="B615" t="s">
        <v>70</v>
      </c>
      <c r="C615" t="s">
        <v>12</v>
      </c>
      <c r="D615" t="s">
        <v>13</v>
      </c>
      <c r="E615" t="s">
        <v>14</v>
      </c>
      <c r="F615" s="1">
        <v>42255</v>
      </c>
      <c r="G615" t="s">
        <v>12</v>
      </c>
      <c r="H615">
        <v>3109.4913969999998</v>
      </c>
      <c r="I615">
        <v>148</v>
      </c>
      <c r="J615">
        <v>0</v>
      </c>
      <c r="K615" s="2">
        <f t="shared" si="18"/>
        <v>43700.960174054053</v>
      </c>
      <c r="L615" s="2">
        <v>42222.96</v>
      </c>
      <c r="M615" s="3">
        <f t="shared" si="19"/>
        <v>3.5004655619929492E-2</v>
      </c>
    </row>
    <row r="616" spans="1:13" x14ac:dyDescent="0.25">
      <c r="A616" t="s">
        <v>409</v>
      </c>
      <c r="B616" t="s">
        <v>70</v>
      </c>
      <c r="C616" t="s">
        <v>342</v>
      </c>
      <c r="D616" t="s">
        <v>13</v>
      </c>
      <c r="E616" t="s">
        <v>14</v>
      </c>
      <c r="F616" s="1">
        <v>43318</v>
      </c>
      <c r="G616" t="s">
        <v>342</v>
      </c>
      <c r="H616">
        <v>3192.4851840000001</v>
      </c>
      <c r="I616">
        <v>152</v>
      </c>
      <c r="J616">
        <v>0</v>
      </c>
      <c r="K616" s="2">
        <f t="shared" si="18"/>
        <v>43686.639360000001</v>
      </c>
      <c r="L616" s="2">
        <v>40134.639999999999</v>
      </c>
      <c r="M616" s="3">
        <f t="shared" si="19"/>
        <v>8.8502085978596101E-2</v>
      </c>
    </row>
    <row r="617" spans="1:13" x14ac:dyDescent="0.25">
      <c r="A617" t="s">
        <v>772</v>
      </c>
      <c r="B617" t="s">
        <v>186</v>
      </c>
      <c r="C617" t="s">
        <v>12</v>
      </c>
      <c r="D617" t="s">
        <v>13</v>
      </c>
      <c r="E617" t="s">
        <v>14</v>
      </c>
      <c r="F617" s="1">
        <v>40574</v>
      </c>
      <c r="G617" t="s">
        <v>12</v>
      </c>
      <c r="H617">
        <v>2940.2837800000002</v>
      </c>
      <c r="I617">
        <v>140</v>
      </c>
      <c r="J617">
        <v>0</v>
      </c>
      <c r="K617" s="2">
        <f t="shared" si="18"/>
        <v>43684.216160000004</v>
      </c>
      <c r="L617" s="2">
        <v>41387.216</v>
      </c>
      <c r="M617" s="3">
        <f t="shared" si="19"/>
        <v>5.5500233695351842E-2</v>
      </c>
    </row>
    <row r="618" spans="1:13" x14ac:dyDescent="0.25">
      <c r="A618" t="s">
        <v>433</v>
      </c>
      <c r="B618" t="s">
        <v>19</v>
      </c>
      <c r="C618" t="s">
        <v>31</v>
      </c>
      <c r="D618" t="s">
        <v>13</v>
      </c>
      <c r="E618" t="s">
        <v>14</v>
      </c>
      <c r="F618" s="1">
        <v>45775</v>
      </c>
      <c r="G618" t="s">
        <v>31</v>
      </c>
      <c r="H618">
        <v>3339</v>
      </c>
      <c r="I618">
        <v>159</v>
      </c>
      <c r="J618">
        <v>0</v>
      </c>
      <c r="K618" s="2">
        <f t="shared" si="18"/>
        <v>43680</v>
      </c>
      <c r="L618" s="2">
        <v>43680</v>
      </c>
      <c r="M618" s="3">
        <f t="shared" si="19"/>
        <v>0</v>
      </c>
    </row>
    <row r="619" spans="1:13" x14ac:dyDescent="0.25">
      <c r="A619" t="s">
        <v>529</v>
      </c>
      <c r="B619" t="s">
        <v>530</v>
      </c>
      <c r="C619" t="s">
        <v>44</v>
      </c>
      <c r="D619" t="s">
        <v>13</v>
      </c>
      <c r="E619" t="s">
        <v>14</v>
      </c>
      <c r="F619" s="1">
        <v>45796</v>
      </c>
      <c r="G619" t="s">
        <v>44</v>
      </c>
      <c r="H619">
        <v>3192</v>
      </c>
      <c r="I619">
        <v>152</v>
      </c>
      <c r="J619">
        <v>0</v>
      </c>
      <c r="K619" s="2">
        <f t="shared" si="18"/>
        <v>43680</v>
      </c>
      <c r="L619" s="2">
        <v>43680</v>
      </c>
      <c r="M619" s="3">
        <f t="shared" si="19"/>
        <v>0</v>
      </c>
    </row>
    <row r="620" spans="1:13" x14ac:dyDescent="0.25">
      <c r="A620" t="s">
        <v>898</v>
      </c>
      <c r="B620" t="s">
        <v>186</v>
      </c>
      <c r="C620" t="s">
        <v>12</v>
      </c>
      <c r="D620" t="s">
        <v>13</v>
      </c>
      <c r="E620" t="s">
        <v>14</v>
      </c>
      <c r="F620" s="1">
        <v>45798</v>
      </c>
      <c r="G620" t="s">
        <v>12</v>
      </c>
      <c r="H620">
        <v>3192</v>
      </c>
      <c r="I620">
        <v>152</v>
      </c>
      <c r="J620">
        <v>0</v>
      </c>
      <c r="K620" s="2">
        <f t="shared" si="18"/>
        <v>43680</v>
      </c>
      <c r="L620" s="2">
        <v>43680</v>
      </c>
      <c r="M620" s="3">
        <f t="shared" si="19"/>
        <v>0</v>
      </c>
    </row>
    <row r="621" spans="1:13" x14ac:dyDescent="0.25">
      <c r="A621" t="s">
        <v>934</v>
      </c>
      <c r="B621" t="s">
        <v>19</v>
      </c>
      <c r="C621" t="s">
        <v>31</v>
      </c>
      <c r="D621" t="s">
        <v>13</v>
      </c>
      <c r="E621" t="s">
        <v>14</v>
      </c>
      <c r="F621" s="1">
        <v>45789</v>
      </c>
      <c r="G621" t="s">
        <v>31</v>
      </c>
      <c r="H621">
        <v>3344.25</v>
      </c>
      <c r="I621">
        <v>159.25</v>
      </c>
      <c r="J621">
        <v>0</v>
      </c>
      <c r="K621" s="2">
        <f t="shared" si="18"/>
        <v>43680</v>
      </c>
      <c r="L621" s="2">
        <v>43680</v>
      </c>
      <c r="M621" s="3">
        <f t="shared" si="19"/>
        <v>0</v>
      </c>
    </row>
    <row r="622" spans="1:13" x14ac:dyDescent="0.25">
      <c r="A622" t="s">
        <v>187</v>
      </c>
      <c r="B622" t="s">
        <v>70</v>
      </c>
      <c r="C622" t="s">
        <v>12</v>
      </c>
      <c r="D622" t="s">
        <v>13</v>
      </c>
      <c r="E622" t="s">
        <v>14</v>
      </c>
      <c r="F622" s="1">
        <v>41946</v>
      </c>
      <c r="G622" t="s">
        <v>12</v>
      </c>
      <c r="H622">
        <v>3191.880224</v>
      </c>
      <c r="I622">
        <v>152</v>
      </c>
      <c r="J622">
        <v>0</v>
      </c>
      <c r="K622" s="2">
        <f t="shared" si="18"/>
        <v>43678.360959999998</v>
      </c>
      <c r="L622" s="2">
        <v>41817.360000000001</v>
      </c>
      <c r="M622" s="3">
        <f t="shared" si="19"/>
        <v>4.4503071451664988E-2</v>
      </c>
    </row>
    <row r="623" spans="1:13" x14ac:dyDescent="0.25">
      <c r="A623" t="s">
        <v>566</v>
      </c>
      <c r="B623" t="s">
        <v>220</v>
      </c>
      <c r="C623" t="s">
        <v>44</v>
      </c>
      <c r="D623" t="s">
        <v>13</v>
      </c>
      <c r="E623" t="s">
        <v>14</v>
      </c>
      <c r="F623" s="1">
        <v>44424</v>
      </c>
      <c r="G623" t="s">
        <v>44</v>
      </c>
      <c r="H623">
        <v>3023.72309</v>
      </c>
      <c r="I623">
        <v>144</v>
      </c>
      <c r="J623">
        <v>0</v>
      </c>
      <c r="K623" s="2">
        <f t="shared" si="18"/>
        <v>43676.000188888887</v>
      </c>
      <c r="L623" s="2">
        <v>41184</v>
      </c>
      <c r="M623" s="3">
        <f t="shared" si="19"/>
        <v>6.0508940095398422E-2</v>
      </c>
    </row>
    <row r="624" spans="1:13" x14ac:dyDescent="0.25">
      <c r="A624" t="s">
        <v>884</v>
      </c>
      <c r="B624" t="s">
        <v>70</v>
      </c>
      <c r="C624" t="s">
        <v>12</v>
      </c>
      <c r="D624" t="s">
        <v>13</v>
      </c>
      <c r="E624" t="s">
        <v>14</v>
      </c>
      <c r="F624" s="1">
        <v>44543</v>
      </c>
      <c r="G624" t="s">
        <v>12</v>
      </c>
      <c r="H624">
        <v>2351.7199999999998</v>
      </c>
      <c r="I624">
        <v>112</v>
      </c>
      <c r="J624">
        <v>0</v>
      </c>
      <c r="K624" s="2">
        <f t="shared" si="18"/>
        <v>43674.8</v>
      </c>
      <c r="L624" s="2">
        <v>41594.800000000003</v>
      </c>
      <c r="M624" s="3">
        <f t="shared" si="19"/>
        <v>5.0006250781347683E-2</v>
      </c>
    </row>
    <row r="625" spans="1:13" x14ac:dyDescent="0.25">
      <c r="A625" t="s">
        <v>969</v>
      </c>
      <c r="B625" t="s">
        <v>70</v>
      </c>
      <c r="C625" t="s">
        <v>12</v>
      </c>
      <c r="D625" t="s">
        <v>13</v>
      </c>
      <c r="E625" t="s">
        <v>14</v>
      </c>
      <c r="F625" s="1">
        <v>43682</v>
      </c>
      <c r="G625" t="s">
        <v>12</v>
      </c>
      <c r="H625">
        <v>1679.64768</v>
      </c>
      <c r="I625">
        <v>80</v>
      </c>
      <c r="J625">
        <v>0</v>
      </c>
      <c r="K625" s="2">
        <f t="shared" si="18"/>
        <v>43670.839680000005</v>
      </c>
      <c r="L625" s="2">
        <v>41179.839999999997</v>
      </c>
      <c r="M625" s="3">
        <f t="shared" si="19"/>
        <v>6.0490756642085364E-2</v>
      </c>
    </row>
    <row r="626" spans="1:13" x14ac:dyDescent="0.25">
      <c r="A626" t="s">
        <v>1040</v>
      </c>
      <c r="B626" t="s">
        <v>631</v>
      </c>
      <c r="C626" t="s">
        <v>31</v>
      </c>
      <c r="D626" t="s">
        <v>13</v>
      </c>
      <c r="E626" t="s">
        <v>14</v>
      </c>
      <c r="F626" s="1">
        <v>45278</v>
      </c>
      <c r="G626" t="s">
        <v>31</v>
      </c>
      <c r="H626">
        <v>3157.4244960000001</v>
      </c>
      <c r="I626">
        <v>151</v>
      </c>
      <c r="J626">
        <v>0</v>
      </c>
      <c r="K626" s="2">
        <f t="shared" si="18"/>
        <v>43492.999680000001</v>
      </c>
      <c r="L626" s="2">
        <v>42640</v>
      </c>
      <c r="M626" s="3">
        <f t="shared" si="19"/>
        <v>2.000468292682922E-2</v>
      </c>
    </row>
    <row r="627" spans="1:13" x14ac:dyDescent="0.25">
      <c r="A627" t="s">
        <v>900</v>
      </c>
      <c r="B627" t="s">
        <v>186</v>
      </c>
      <c r="C627" t="s">
        <v>12</v>
      </c>
      <c r="D627" t="s">
        <v>13</v>
      </c>
      <c r="E627" t="s">
        <v>14</v>
      </c>
      <c r="F627" s="1">
        <v>41814</v>
      </c>
      <c r="G627" t="s">
        <v>12</v>
      </c>
      <c r="H627">
        <v>3008.4530399999999</v>
      </c>
      <c r="I627">
        <v>144</v>
      </c>
      <c r="J627">
        <v>0</v>
      </c>
      <c r="K627" s="2">
        <f t="shared" si="18"/>
        <v>43455.432800000002</v>
      </c>
      <c r="L627" s="2">
        <v>42006.432000000001</v>
      </c>
      <c r="M627" s="3">
        <f t="shared" si="19"/>
        <v>3.449473642512646E-2</v>
      </c>
    </row>
    <row r="628" spans="1:13" x14ac:dyDescent="0.25">
      <c r="A628" t="s">
        <v>850</v>
      </c>
      <c r="B628" t="s">
        <v>11</v>
      </c>
      <c r="C628" t="s">
        <v>12</v>
      </c>
      <c r="D628" t="s">
        <v>13</v>
      </c>
      <c r="E628" t="s">
        <v>14</v>
      </c>
      <c r="F628" s="1">
        <v>43241</v>
      </c>
      <c r="G628" t="s">
        <v>12</v>
      </c>
      <c r="H628">
        <v>2423.0280739999998</v>
      </c>
      <c r="I628">
        <v>116</v>
      </c>
      <c r="J628">
        <v>0</v>
      </c>
      <c r="K628" s="2">
        <f t="shared" si="18"/>
        <v>43447.3999475862</v>
      </c>
      <c r="L628" s="2">
        <v>42182.400000000001</v>
      </c>
      <c r="M628" s="3">
        <f t="shared" si="19"/>
        <v>2.9988809256614068E-2</v>
      </c>
    </row>
    <row r="629" spans="1:13" x14ac:dyDescent="0.25">
      <c r="A629" t="s">
        <v>644</v>
      </c>
      <c r="B629" t="s">
        <v>498</v>
      </c>
      <c r="C629" t="s">
        <v>44</v>
      </c>
      <c r="D629" t="s">
        <v>13</v>
      </c>
      <c r="E629" t="s">
        <v>14</v>
      </c>
      <c r="F629" s="1">
        <v>45152</v>
      </c>
      <c r="G629" t="s">
        <v>44</v>
      </c>
      <c r="H629">
        <v>2978.5218749999999</v>
      </c>
      <c r="I629">
        <v>143.5</v>
      </c>
      <c r="J629">
        <v>0</v>
      </c>
      <c r="K629" s="2">
        <f t="shared" si="18"/>
        <v>43173</v>
      </c>
      <c r="L629" s="2">
        <v>42120</v>
      </c>
      <c r="M629" s="3">
        <f t="shared" si="19"/>
        <v>2.4999999999999911E-2</v>
      </c>
    </row>
    <row r="630" spans="1:13" x14ac:dyDescent="0.25">
      <c r="A630" t="s">
        <v>1044</v>
      </c>
      <c r="B630" t="s">
        <v>70</v>
      </c>
      <c r="C630" t="s">
        <v>12</v>
      </c>
      <c r="D630" t="s">
        <v>13</v>
      </c>
      <c r="E630" t="s">
        <v>14</v>
      </c>
      <c r="F630" s="1">
        <v>37405</v>
      </c>
      <c r="G630" t="s">
        <v>12</v>
      </c>
      <c r="H630">
        <v>2649.7024000000001</v>
      </c>
      <c r="I630">
        <v>128</v>
      </c>
      <c r="J630">
        <v>0</v>
      </c>
      <c r="K630" s="2">
        <f t="shared" si="18"/>
        <v>43057.664000000004</v>
      </c>
      <c r="L630" s="2">
        <v>41601.664000000004</v>
      </c>
      <c r="M630" s="3">
        <f t="shared" si="19"/>
        <v>3.4998600055997864E-2</v>
      </c>
    </row>
    <row r="631" spans="1:13" x14ac:dyDescent="0.25">
      <c r="A631" t="s">
        <v>96</v>
      </c>
      <c r="B631" t="s">
        <v>97</v>
      </c>
      <c r="C631" t="s">
        <v>12</v>
      </c>
      <c r="D631" t="s">
        <v>13</v>
      </c>
      <c r="E631" t="s">
        <v>14</v>
      </c>
      <c r="F631" s="1">
        <v>45063</v>
      </c>
      <c r="G631" t="s">
        <v>12</v>
      </c>
      <c r="H631">
        <v>3058.4250000000002</v>
      </c>
      <c r="I631">
        <v>147.75</v>
      </c>
      <c r="J631">
        <v>0</v>
      </c>
      <c r="K631" s="2">
        <f t="shared" si="18"/>
        <v>43056.000000000007</v>
      </c>
      <c r="L631" s="2">
        <v>41600</v>
      </c>
      <c r="M631" s="3">
        <f t="shared" si="19"/>
        <v>3.5000000000000142E-2</v>
      </c>
    </row>
    <row r="632" spans="1:13" x14ac:dyDescent="0.25">
      <c r="A632" t="s">
        <v>142</v>
      </c>
      <c r="B632" t="s">
        <v>97</v>
      </c>
      <c r="C632" t="s">
        <v>12</v>
      </c>
      <c r="D632" t="s">
        <v>13</v>
      </c>
      <c r="E632" t="s">
        <v>14</v>
      </c>
      <c r="F632" s="1">
        <v>45005</v>
      </c>
      <c r="G632" t="s">
        <v>12</v>
      </c>
      <c r="H632">
        <v>2815.2</v>
      </c>
      <c r="I632">
        <v>136</v>
      </c>
      <c r="J632">
        <v>0</v>
      </c>
      <c r="K632" s="2">
        <f t="shared" si="18"/>
        <v>43056</v>
      </c>
      <c r="L632" s="2">
        <v>41600</v>
      </c>
      <c r="M632" s="3">
        <f t="shared" si="19"/>
        <v>3.499999999999992E-2</v>
      </c>
    </row>
    <row r="633" spans="1:13" x14ac:dyDescent="0.25">
      <c r="A633" t="s">
        <v>848</v>
      </c>
      <c r="B633" t="s">
        <v>97</v>
      </c>
      <c r="C633" t="s">
        <v>342</v>
      </c>
      <c r="D633" t="s">
        <v>13</v>
      </c>
      <c r="E633" t="s">
        <v>14</v>
      </c>
      <c r="F633" s="1">
        <v>45070</v>
      </c>
      <c r="G633" t="s">
        <v>342</v>
      </c>
      <c r="H633">
        <v>2961.25</v>
      </c>
      <c r="I633">
        <v>143.75</v>
      </c>
      <c r="J633">
        <v>0</v>
      </c>
      <c r="K633" s="2">
        <f t="shared" si="18"/>
        <v>42848</v>
      </c>
      <c r="L633" s="2">
        <v>41600</v>
      </c>
      <c r="M633" s="3">
        <f t="shared" si="19"/>
        <v>3.0000000000000027E-2</v>
      </c>
    </row>
    <row r="634" spans="1:13" x14ac:dyDescent="0.25">
      <c r="A634" t="s">
        <v>783</v>
      </c>
      <c r="B634" t="s">
        <v>54</v>
      </c>
      <c r="C634" t="s">
        <v>146</v>
      </c>
      <c r="D634" t="s">
        <v>13</v>
      </c>
      <c r="E634" t="s">
        <v>14</v>
      </c>
      <c r="F634" s="1">
        <v>45390</v>
      </c>
      <c r="G634" t="s">
        <v>146</v>
      </c>
      <c r="H634">
        <v>2877</v>
      </c>
      <c r="I634">
        <v>140</v>
      </c>
      <c r="J634">
        <v>0</v>
      </c>
      <c r="K634" s="2">
        <f t="shared" si="18"/>
        <v>42744</v>
      </c>
      <c r="L634" s="2">
        <v>41600</v>
      </c>
      <c r="M634" s="3">
        <f t="shared" si="19"/>
        <v>2.750000000000008E-2</v>
      </c>
    </row>
    <row r="635" spans="1:13" x14ac:dyDescent="0.25">
      <c r="A635" t="s">
        <v>834</v>
      </c>
      <c r="B635" t="s">
        <v>835</v>
      </c>
      <c r="C635" t="s">
        <v>236</v>
      </c>
      <c r="D635" t="s">
        <v>13</v>
      </c>
      <c r="E635" t="s">
        <v>14</v>
      </c>
      <c r="F635" s="1">
        <v>44438</v>
      </c>
      <c r="G635" t="s">
        <v>236</v>
      </c>
      <c r="H635">
        <v>2958.1925759999999</v>
      </c>
      <c r="I635">
        <v>144</v>
      </c>
      <c r="J635">
        <v>0</v>
      </c>
      <c r="K635" s="2">
        <f t="shared" si="18"/>
        <v>42729.448319999996</v>
      </c>
      <c r="L635" s="2">
        <v>41086.448000000004</v>
      </c>
      <c r="M635" s="3">
        <f t="shared" si="19"/>
        <v>3.9988862507656764E-2</v>
      </c>
    </row>
    <row r="636" spans="1:13" x14ac:dyDescent="0.25">
      <c r="A636" t="s">
        <v>914</v>
      </c>
      <c r="B636" t="s">
        <v>186</v>
      </c>
      <c r="C636" t="s">
        <v>12</v>
      </c>
      <c r="D636" t="s">
        <v>13</v>
      </c>
      <c r="E636" t="s">
        <v>14</v>
      </c>
      <c r="F636" s="1">
        <v>43544</v>
      </c>
      <c r="G636" t="s">
        <v>12</v>
      </c>
      <c r="H636">
        <v>2788.3321120000001</v>
      </c>
      <c r="I636">
        <v>136</v>
      </c>
      <c r="J636">
        <v>0</v>
      </c>
      <c r="K636" s="2">
        <f t="shared" si="18"/>
        <v>42645.079360000003</v>
      </c>
      <c r="L636" s="2">
        <v>40250.080000000002</v>
      </c>
      <c r="M636" s="3">
        <f t="shared" si="19"/>
        <v>5.9502971422665585E-2</v>
      </c>
    </row>
    <row r="637" spans="1:13" x14ac:dyDescent="0.25">
      <c r="A637" t="s">
        <v>407</v>
      </c>
      <c r="B637" t="s">
        <v>70</v>
      </c>
      <c r="C637" t="s">
        <v>31</v>
      </c>
      <c r="D637" t="s">
        <v>13</v>
      </c>
      <c r="E637" t="s">
        <v>14</v>
      </c>
      <c r="F637" s="1">
        <v>44697</v>
      </c>
      <c r="G637" t="s">
        <v>31</v>
      </c>
      <c r="H637">
        <v>2952.3516479999998</v>
      </c>
      <c r="I637">
        <v>144</v>
      </c>
      <c r="J637">
        <v>0</v>
      </c>
      <c r="K637" s="2">
        <f t="shared" si="18"/>
        <v>42645.079359999996</v>
      </c>
      <c r="L637" s="2">
        <v>39106.080000000002</v>
      </c>
      <c r="M637" s="3">
        <f t="shared" si="19"/>
        <v>9.0497420349981317E-2</v>
      </c>
    </row>
    <row r="638" spans="1:13" x14ac:dyDescent="0.25">
      <c r="A638" t="s">
        <v>985</v>
      </c>
      <c r="B638" t="s">
        <v>70</v>
      </c>
      <c r="C638" t="s">
        <v>12</v>
      </c>
      <c r="D638" t="s">
        <v>13</v>
      </c>
      <c r="E638" t="s">
        <v>14</v>
      </c>
      <c r="F638" s="1">
        <v>44627</v>
      </c>
      <c r="G638" t="s">
        <v>12</v>
      </c>
      <c r="H638">
        <v>2788.1725839999999</v>
      </c>
      <c r="I638">
        <v>136</v>
      </c>
      <c r="J638">
        <v>0</v>
      </c>
      <c r="K638" s="2">
        <f t="shared" si="18"/>
        <v>42642.639520000004</v>
      </c>
      <c r="L638" s="2">
        <v>40134.639999999999</v>
      </c>
      <c r="M638" s="3">
        <f t="shared" si="19"/>
        <v>6.2489647845352714E-2</v>
      </c>
    </row>
    <row r="639" spans="1:13" x14ac:dyDescent="0.25">
      <c r="A639" t="s">
        <v>761</v>
      </c>
      <c r="B639" t="s">
        <v>196</v>
      </c>
      <c r="C639" t="s">
        <v>44</v>
      </c>
      <c r="D639" t="s">
        <v>13</v>
      </c>
      <c r="E639" t="s">
        <v>14</v>
      </c>
      <c r="F639" s="1">
        <v>43878</v>
      </c>
      <c r="G639" t="s">
        <v>44</v>
      </c>
      <c r="H639">
        <v>3034</v>
      </c>
      <c r="I639">
        <v>148</v>
      </c>
      <c r="J639">
        <v>0</v>
      </c>
      <c r="K639" s="2">
        <f t="shared" si="18"/>
        <v>42640</v>
      </c>
      <c r="L639" s="2">
        <v>41600</v>
      </c>
      <c r="M639" s="3">
        <f t="shared" si="19"/>
        <v>2.4999999999999911E-2</v>
      </c>
    </row>
    <row r="640" spans="1:13" x14ac:dyDescent="0.25">
      <c r="A640" t="s">
        <v>451</v>
      </c>
      <c r="B640" t="s">
        <v>43</v>
      </c>
      <c r="C640" t="s">
        <v>44</v>
      </c>
      <c r="D640" t="s">
        <v>13</v>
      </c>
      <c r="E640" t="s">
        <v>14</v>
      </c>
      <c r="F640" s="1">
        <v>44578</v>
      </c>
      <c r="G640" t="s">
        <v>44</v>
      </c>
      <c r="H640">
        <v>3115.994224</v>
      </c>
      <c r="I640">
        <v>152</v>
      </c>
      <c r="J640">
        <v>0</v>
      </c>
      <c r="K640" s="2">
        <f t="shared" si="18"/>
        <v>42639.920960000003</v>
      </c>
      <c r="L640" s="2">
        <v>39517.920000000006</v>
      </c>
      <c r="M640" s="3">
        <f t="shared" si="19"/>
        <v>7.9002158008316226E-2</v>
      </c>
    </row>
    <row r="641" spans="1:13" x14ac:dyDescent="0.25">
      <c r="A641" t="s">
        <v>970</v>
      </c>
      <c r="B641" t="s">
        <v>186</v>
      </c>
      <c r="C641" t="s">
        <v>31</v>
      </c>
      <c r="D641" t="s">
        <v>13</v>
      </c>
      <c r="E641" t="s">
        <v>14</v>
      </c>
      <c r="F641" s="1">
        <v>44747</v>
      </c>
      <c r="G641" t="s">
        <v>31</v>
      </c>
      <c r="H641">
        <v>2951.98344</v>
      </c>
      <c r="I641">
        <v>144</v>
      </c>
      <c r="J641">
        <v>0</v>
      </c>
      <c r="K641" s="2">
        <f t="shared" si="18"/>
        <v>42639.760800000004</v>
      </c>
      <c r="L641" s="2">
        <v>38993.760000000002</v>
      </c>
      <c r="M641" s="3">
        <f t="shared" si="19"/>
        <v>9.3502160345655394E-2</v>
      </c>
    </row>
    <row r="642" spans="1:13" x14ac:dyDescent="0.25">
      <c r="A642" t="s">
        <v>982</v>
      </c>
      <c r="B642" t="s">
        <v>220</v>
      </c>
      <c r="C642" t="s">
        <v>44</v>
      </c>
      <c r="D642" t="s">
        <v>13</v>
      </c>
      <c r="E642" t="s">
        <v>14</v>
      </c>
      <c r="F642" s="1">
        <v>44942</v>
      </c>
      <c r="G642" t="s">
        <v>44</v>
      </c>
      <c r="H642">
        <v>2787.9843599999999</v>
      </c>
      <c r="I642">
        <v>136</v>
      </c>
      <c r="J642">
        <v>0</v>
      </c>
      <c r="K642" s="2">
        <f t="shared" ref="K642:K692" si="20">(2080/I642)*H642</f>
        <v>42639.760800000004</v>
      </c>
      <c r="L642" s="2">
        <v>38993.760000000002</v>
      </c>
      <c r="M642" s="3">
        <f t="shared" si="19"/>
        <v>9.3502160345655394E-2</v>
      </c>
    </row>
    <row r="643" spans="1:13" x14ac:dyDescent="0.25">
      <c r="A643" t="s">
        <v>765</v>
      </c>
      <c r="B643" t="s">
        <v>186</v>
      </c>
      <c r="C643" t="s">
        <v>31</v>
      </c>
      <c r="D643" t="s">
        <v>13</v>
      </c>
      <c r="E643" t="s">
        <v>14</v>
      </c>
      <c r="F643" s="1">
        <v>44403</v>
      </c>
      <c r="G643" t="s">
        <v>31</v>
      </c>
      <c r="H643">
        <v>3115.98252</v>
      </c>
      <c r="I643">
        <v>152</v>
      </c>
      <c r="J643">
        <v>0</v>
      </c>
      <c r="K643" s="2">
        <f t="shared" si="20"/>
        <v>42639.760799999996</v>
      </c>
      <c r="L643" s="2">
        <v>38993.760000000002</v>
      </c>
      <c r="M643" s="3">
        <f t="shared" ref="M643:M692" si="21">IFERROR((K643/L643)-1,0)</f>
        <v>9.3502160345655172E-2</v>
      </c>
    </row>
    <row r="644" spans="1:13" x14ac:dyDescent="0.25">
      <c r="A644" t="s">
        <v>776</v>
      </c>
      <c r="B644" t="s">
        <v>186</v>
      </c>
      <c r="C644" t="s">
        <v>31</v>
      </c>
      <c r="D644" t="s">
        <v>13</v>
      </c>
      <c r="E644" t="s">
        <v>14</v>
      </c>
      <c r="F644" s="1">
        <v>44768</v>
      </c>
      <c r="G644" t="s">
        <v>31</v>
      </c>
      <c r="H644">
        <v>2623.9852799999999</v>
      </c>
      <c r="I644">
        <v>128</v>
      </c>
      <c r="J644">
        <v>0</v>
      </c>
      <c r="K644" s="2">
        <f t="shared" si="20"/>
        <v>42639.760799999996</v>
      </c>
      <c r="L644" s="2">
        <v>38993.760000000002</v>
      </c>
      <c r="M644" s="3">
        <f t="shared" si="21"/>
        <v>9.3502160345655172E-2</v>
      </c>
    </row>
    <row r="645" spans="1:13" x14ac:dyDescent="0.25">
      <c r="A645" t="s">
        <v>838</v>
      </c>
      <c r="B645" t="s">
        <v>186</v>
      </c>
      <c r="C645" t="s">
        <v>12</v>
      </c>
      <c r="D645" t="s">
        <v>13</v>
      </c>
      <c r="E645" t="s">
        <v>14</v>
      </c>
      <c r="F645" s="1">
        <v>44424</v>
      </c>
      <c r="G645" t="s">
        <v>12</v>
      </c>
      <c r="H645">
        <v>3115.98252</v>
      </c>
      <c r="I645">
        <v>152</v>
      </c>
      <c r="J645">
        <v>0</v>
      </c>
      <c r="K645" s="2">
        <f t="shared" si="20"/>
        <v>42639.760799999996</v>
      </c>
      <c r="L645" s="2">
        <v>38993.760000000002</v>
      </c>
      <c r="M645" s="3">
        <f t="shared" si="21"/>
        <v>9.3502160345655172E-2</v>
      </c>
    </row>
    <row r="646" spans="1:13" x14ac:dyDescent="0.25">
      <c r="A646" t="s">
        <v>599</v>
      </c>
      <c r="B646" t="s">
        <v>70</v>
      </c>
      <c r="C646" t="s">
        <v>12</v>
      </c>
      <c r="D646" t="s">
        <v>13</v>
      </c>
      <c r="E646" t="s">
        <v>14</v>
      </c>
      <c r="F646" s="1">
        <v>44608</v>
      </c>
      <c r="G646" t="s">
        <v>12</v>
      </c>
      <c r="H646">
        <v>2951.74584</v>
      </c>
      <c r="I646">
        <v>144</v>
      </c>
      <c r="J646">
        <v>0</v>
      </c>
      <c r="K646" s="2">
        <f t="shared" si="20"/>
        <v>42636.328800000003</v>
      </c>
      <c r="L646" s="2">
        <v>40147.328000000001</v>
      </c>
      <c r="M646" s="3">
        <f t="shared" si="21"/>
        <v>6.1996673850872597E-2</v>
      </c>
    </row>
    <row r="647" spans="1:13" x14ac:dyDescent="0.25">
      <c r="A647" t="s">
        <v>867</v>
      </c>
      <c r="B647" t="s">
        <v>70</v>
      </c>
      <c r="C647" t="s">
        <v>342</v>
      </c>
      <c r="D647" t="s">
        <v>13</v>
      </c>
      <c r="E647" t="s">
        <v>14</v>
      </c>
      <c r="F647" s="1">
        <v>44970</v>
      </c>
      <c r="G647" t="s">
        <v>342</v>
      </c>
      <c r="H647">
        <v>3115.5614799999998</v>
      </c>
      <c r="I647">
        <v>152</v>
      </c>
      <c r="J647">
        <v>0</v>
      </c>
      <c r="K647" s="2">
        <f t="shared" si="20"/>
        <v>42633.999199999998</v>
      </c>
      <c r="L647" s="2">
        <v>39312</v>
      </c>
      <c r="M647" s="3">
        <f t="shared" si="21"/>
        <v>8.4503439153439164E-2</v>
      </c>
    </row>
    <row r="648" spans="1:13" x14ac:dyDescent="0.25">
      <c r="A648" t="s">
        <v>488</v>
      </c>
      <c r="B648" t="s">
        <v>489</v>
      </c>
      <c r="C648" t="s">
        <v>146</v>
      </c>
      <c r="D648" t="s">
        <v>13</v>
      </c>
      <c r="E648" t="s">
        <v>14</v>
      </c>
      <c r="F648" s="1">
        <v>45376</v>
      </c>
      <c r="G648" t="s">
        <v>146</v>
      </c>
      <c r="H648">
        <v>2856</v>
      </c>
      <c r="I648">
        <v>140</v>
      </c>
      <c r="J648">
        <v>0</v>
      </c>
      <c r="K648" s="2">
        <f t="shared" si="20"/>
        <v>42432</v>
      </c>
      <c r="L648" s="2">
        <v>41600</v>
      </c>
      <c r="M648" s="3">
        <f t="shared" si="21"/>
        <v>2.0000000000000018E-2</v>
      </c>
    </row>
    <row r="649" spans="1:13" x14ac:dyDescent="0.25">
      <c r="A649" t="s">
        <v>227</v>
      </c>
      <c r="B649" t="s">
        <v>228</v>
      </c>
      <c r="C649" t="s">
        <v>146</v>
      </c>
      <c r="D649" t="s">
        <v>13</v>
      </c>
      <c r="E649" t="s">
        <v>14</v>
      </c>
      <c r="F649" s="1">
        <v>44935</v>
      </c>
      <c r="G649" t="s">
        <v>146</v>
      </c>
      <c r="H649">
        <v>2199.7331239999999</v>
      </c>
      <c r="I649">
        <v>108.5</v>
      </c>
      <c r="J649">
        <v>0</v>
      </c>
      <c r="K649" s="2">
        <f t="shared" si="20"/>
        <v>42169.999059170499</v>
      </c>
      <c r="L649" s="2">
        <v>41100.999679999994</v>
      </c>
      <c r="M649" s="3">
        <f t="shared" si="21"/>
        <v>2.6009084632816926E-2</v>
      </c>
    </row>
    <row r="650" spans="1:13" x14ac:dyDescent="0.25">
      <c r="A650" t="s">
        <v>10</v>
      </c>
      <c r="B650" t="s">
        <v>11</v>
      </c>
      <c r="C650" t="s">
        <v>12</v>
      </c>
      <c r="D650" t="s">
        <v>13</v>
      </c>
      <c r="E650" t="s">
        <v>14</v>
      </c>
      <c r="F650" s="1">
        <v>44172</v>
      </c>
      <c r="G650" t="s">
        <v>12</v>
      </c>
      <c r="H650">
        <v>3052.9345920000001</v>
      </c>
      <c r="I650">
        <v>152</v>
      </c>
      <c r="J650">
        <v>0</v>
      </c>
      <c r="K650" s="2">
        <f t="shared" si="20"/>
        <v>41776.999680000001</v>
      </c>
      <c r="L650" s="2">
        <v>40560</v>
      </c>
      <c r="M650" s="3">
        <f t="shared" si="21"/>
        <v>3.000492307692304E-2</v>
      </c>
    </row>
    <row r="651" spans="1:13" x14ac:dyDescent="0.25">
      <c r="A651" t="s">
        <v>117</v>
      </c>
      <c r="B651" t="s">
        <v>118</v>
      </c>
      <c r="C651" t="s">
        <v>119</v>
      </c>
      <c r="D651" t="s">
        <v>13</v>
      </c>
      <c r="E651" t="s">
        <v>14</v>
      </c>
      <c r="F651" s="1">
        <v>45796</v>
      </c>
      <c r="G651" t="s">
        <v>119</v>
      </c>
      <c r="H651">
        <v>2930</v>
      </c>
      <c r="I651">
        <v>146.5</v>
      </c>
      <c r="J651">
        <v>0</v>
      </c>
      <c r="K651" s="2">
        <f t="shared" si="20"/>
        <v>41600</v>
      </c>
      <c r="L651" s="2">
        <v>41600</v>
      </c>
      <c r="M651" s="3">
        <f t="shared" si="21"/>
        <v>0</v>
      </c>
    </row>
    <row r="652" spans="1:13" x14ac:dyDescent="0.25">
      <c r="A652" t="s">
        <v>147</v>
      </c>
      <c r="B652" t="s">
        <v>148</v>
      </c>
      <c r="C652" t="s">
        <v>119</v>
      </c>
      <c r="D652" t="s">
        <v>13</v>
      </c>
      <c r="E652" t="s">
        <v>14</v>
      </c>
      <c r="F652" s="1">
        <v>45796</v>
      </c>
      <c r="G652" t="s">
        <v>119</v>
      </c>
      <c r="H652">
        <v>3025</v>
      </c>
      <c r="I652">
        <v>151.25</v>
      </c>
      <c r="J652">
        <v>0</v>
      </c>
      <c r="K652" s="2">
        <f t="shared" si="20"/>
        <v>41600</v>
      </c>
      <c r="L652" s="2">
        <v>41600</v>
      </c>
      <c r="M652" s="3">
        <f t="shared" si="21"/>
        <v>0</v>
      </c>
    </row>
    <row r="653" spans="1:13" x14ac:dyDescent="0.25">
      <c r="A653" t="s">
        <v>195</v>
      </c>
      <c r="B653" t="s">
        <v>196</v>
      </c>
      <c r="C653" t="s">
        <v>44</v>
      </c>
      <c r="D653" t="s">
        <v>13</v>
      </c>
      <c r="E653" t="s">
        <v>14</v>
      </c>
      <c r="F653" s="1">
        <v>45712</v>
      </c>
      <c r="G653" t="s">
        <v>44</v>
      </c>
      <c r="H653">
        <v>2370</v>
      </c>
      <c r="I653">
        <v>118.5</v>
      </c>
      <c r="J653">
        <v>0</v>
      </c>
      <c r="K653" s="2">
        <f t="shared" si="20"/>
        <v>41600</v>
      </c>
      <c r="L653" s="2">
        <v>41600</v>
      </c>
      <c r="M653" s="3">
        <f t="shared" si="21"/>
        <v>0</v>
      </c>
    </row>
    <row r="654" spans="1:13" x14ac:dyDescent="0.25">
      <c r="A654" t="s">
        <v>324</v>
      </c>
      <c r="B654" t="s">
        <v>150</v>
      </c>
      <c r="C654" t="s">
        <v>44</v>
      </c>
      <c r="D654" t="s">
        <v>13</v>
      </c>
      <c r="E654" t="s">
        <v>14</v>
      </c>
      <c r="F654" s="1">
        <v>45838</v>
      </c>
      <c r="G654" t="s">
        <v>44</v>
      </c>
      <c r="H654">
        <v>3040</v>
      </c>
      <c r="I654">
        <v>152</v>
      </c>
      <c r="J654">
        <v>0</v>
      </c>
      <c r="K654" s="2">
        <f t="shared" si="20"/>
        <v>41600</v>
      </c>
      <c r="L654" s="2" t="e">
        <v>#N/A</v>
      </c>
      <c r="M654" s="3">
        <f t="shared" si="21"/>
        <v>0</v>
      </c>
    </row>
    <row r="655" spans="1:13" x14ac:dyDescent="0.25">
      <c r="A655" t="s">
        <v>511</v>
      </c>
      <c r="B655" t="s">
        <v>337</v>
      </c>
      <c r="C655" t="s">
        <v>44</v>
      </c>
      <c r="D655" t="s">
        <v>13</v>
      </c>
      <c r="E655" t="s">
        <v>14</v>
      </c>
      <c r="F655" s="1">
        <v>45824</v>
      </c>
      <c r="G655" t="s">
        <v>44</v>
      </c>
      <c r="H655">
        <v>2960</v>
      </c>
      <c r="I655">
        <v>148</v>
      </c>
      <c r="J655">
        <v>0</v>
      </c>
      <c r="K655" s="2">
        <f t="shared" si="20"/>
        <v>41600</v>
      </c>
      <c r="L655" s="2">
        <v>41600</v>
      </c>
      <c r="M655" s="3">
        <f t="shared" si="21"/>
        <v>0</v>
      </c>
    </row>
    <row r="656" spans="1:13" x14ac:dyDescent="0.25">
      <c r="A656" t="s">
        <v>531</v>
      </c>
      <c r="B656" t="s">
        <v>74</v>
      </c>
      <c r="C656" t="s">
        <v>119</v>
      </c>
      <c r="D656" t="s">
        <v>13</v>
      </c>
      <c r="E656" t="s">
        <v>14</v>
      </c>
      <c r="F656" s="1">
        <v>45810</v>
      </c>
      <c r="G656" t="s">
        <v>119</v>
      </c>
      <c r="H656">
        <v>3045</v>
      </c>
      <c r="I656">
        <v>152.25</v>
      </c>
      <c r="J656">
        <v>0</v>
      </c>
      <c r="K656" s="2">
        <f t="shared" si="20"/>
        <v>41600</v>
      </c>
      <c r="L656" s="2">
        <v>41600</v>
      </c>
      <c r="M656" s="3">
        <f t="shared" si="21"/>
        <v>0</v>
      </c>
    </row>
    <row r="657" spans="1:13" x14ac:dyDescent="0.25">
      <c r="A657" t="s">
        <v>534</v>
      </c>
      <c r="B657" t="s">
        <v>74</v>
      </c>
      <c r="C657" t="s">
        <v>119</v>
      </c>
      <c r="D657" t="s">
        <v>13</v>
      </c>
      <c r="E657" t="s">
        <v>14</v>
      </c>
      <c r="F657" s="1">
        <v>45796</v>
      </c>
      <c r="G657" t="s">
        <v>119</v>
      </c>
      <c r="H657">
        <v>2895</v>
      </c>
      <c r="I657">
        <v>144.75</v>
      </c>
      <c r="J657">
        <v>0</v>
      </c>
      <c r="K657" s="2">
        <f t="shared" si="20"/>
        <v>41600</v>
      </c>
      <c r="L657" s="2">
        <v>41600</v>
      </c>
      <c r="M657" s="3">
        <f t="shared" si="21"/>
        <v>0</v>
      </c>
    </row>
    <row r="658" spans="1:13" x14ac:dyDescent="0.25">
      <c r="A658" t="s">
        <v>549</v>
      </c>
      <c r="B658" t="s">
        <v>290</v>
      </c>
      <c r="C658" t="s">
        <v>119</v>
      </c>
      <c r="D658" t="s">
        <v>13</v>
      </c>
      <c r="E658" t="s">
        <v>14</v>
      </c>
      <c r="F658" s="1">
        <v>45796</v>
      </c>
      <c r="G658" t="s">
        <v>119</v>
      </c>
      <c r="H658">
        <v>3040</v>
      </c>
      <c r="I658">
        <v>152</v>
      </c>
      <c r="J658">
        <v>0</v>
      </c>
      <c r="K658" s="2">
        <f t="shared" si="20"/>
        <v>41600</v>
      </c>
      <c r="L658" s="2">
        <v>41600</v>
      </c>
      <c r="M658" s="3">
        <f t="shared" si="21"/>
        <v>0</v>
      </c>
    </row>
    <row r="659" spans="1:13" x14ac:dyDescent="0.25">
      <c r="A659" t="s">
        <v>575</v>
      </c>
      <c r="B659" t="s">
        <v>505</v>
      </c>
      <c r="C659" t="s">
        <v>119</v>
      </c>
      <c r="D659" t="s">
        <v>13</v>
      </c>
      <c r="E659" t="s">
        <v>14</v>
      </c>
      <c r="F659" s="1">
        <v>45796</v>
      </c>
      <c r="G659" t="s">
        <v>119</v>
      </c>
      <c r="H659">
        <v>3035</v>
      </c>
      <c r="I659">
        <v>151.75</v>
      </c>
      <c r="J659">
        <v>0</v>
      </c>
      <c r="K659" s="2">
        <f t="shared" si="20"/>
        <v>41600</v>
      </c>
      <c r="L659" s="2">
        <v>41600</v>
      </c>
      <c r="M659" s="3">
        <f t="shared" si="21"/>
        <v>0</v>
      </c>
    </row>
    <row r="660" spans="1:13" x14ac:dyDescent="0.25">
      <c r="A660" t="s">
        <v>578</v>
      </c>
      <c r="B660" t="s">
        <v>579</v>
      </c>
      <c r="C660" t="s">
        <v>580</v>
      </c>
      <c r="D660" t="s">
        <v>13</v>
      </c>
      <c r="E660" t="s">
        <v>14</v>
      </c>
      <c r="F660" s="1">
        <v>45580</v>
      </c>
      <c r="G660" t="s">
        <v>580</v>
      </c>
      <c r="H660">
        <v>1530</v>
      </c>
      <c r="I660">
        <v>76.5</v>
      </c>
      <c r="J660">
        <v>0</v>
      </c>
      <c r="K660" s="2">
        <f t="shared" si="20"/>
        <v>41600</v>
      </c>
      <c r="L660" s="2">
        <v>41600</v>
      </c>
      <c r="M660" s="3">
        <f t="shared" si="21"/>
        <v>0</v>
      </c>
    </row>
    <row r="661" spans="1:13" x14ac:dyDescent="0.25">
      <c r="A661" t="s">
        <v>664</v>
      </c>
      <c r="B661" t="s">
        <v>619</v>
      </c>
      <c r="C661" t="s">
        <v>41</v>
      </c>
      <c r="D661" t="s">
        <v>13</v>
      </c>
      <c r="E661" t="s">
        <v>14</v>
      </c>
      <c r="F661" s="1">
        <v>45796</v>
      </c>
      <c r="G661" t="s">
        <v>41</v>
      </c>
      <c r="H661">
        <v>3040</v>
      </c>
      <c r="I661">
        <v>152</v>
      </c>
      <c r="J661">
        <v>0</v>
      </c>
      <c r="K661" s="2">
        <f t="shared" si="20"/>
        <v>41600</v>
      </c>
      <c r="L661" s="2">
        <v>41600</v>
      </c>
      <c r="M661" s="3">
        <f t="shared" si="21"/>
        <v>0</v>
      </c>
    </row>
    <row r="662" spans="1:13" x14ac:dyDescent="0.25">
      <c r="A662" t="s">
        <v>939</v>
      </c>
      <c r="B662" t="s">
        <v>150</v>
      </c>
      <c r="C662" t="s">
        <v>44</v>
      </c>
      <c r="D662" t="s">
        <v>13</v>
      </c>
      <c r="E662" t="s">
        <v>14</v>
      </c>
      <c r="F662" s="1">
        <v>45817</v>
      </c>
      <c r="G662" t="s">
        <v>44</v>
      </c>
      <c r="H662">
        <v>3040</v>
      </c>
      <c r="I662">
        <v>152</v>
      </c>
      <c r="J662">
        <v>0</v>
      </c>
      <c r="K662" s="2">
        <f t="shared" si="20"/>
        <v>41600</v>
      </c>
      <c r="L662" s="2">
        <v>41600</v>
      </c>
      <c r="M662" s="3">
        <f t="shared" si="21"/>
        <v>0</v>
      </c>
    </row>
    <row r="663" spans="1:13" x14ac:dyDescent="0.25">
      <c r="A663" t="s">
        <v>1046</v>
      </c>
      <c r="B663" t="s">
        <v>462</v>
      </c>
      <c r="C663" t="s">
        <v>119</v>
      </c>
      <c r="D663" t="s">
        <v>13</v>
      </c>
      <c r="E663" t="s">
        <v>14</v>
      </c>
      <c r="F663" s="1">
        <v>45796</v>
      </c>
      <c r="G663" t="s">
        <v>119</v>
      </c>
      <c r="H663">
        <v>3040</v>
      </c>
      <c r="I663">
        <v>152</v>
      </c>
      <c r="J663">
        <v>0</v>
      </c>
      <c r="K663" s="2">
        <f t="shared" si="20"/>
        <v>41600</v>
      </c>
      <c r="L663" s="2">
        <v>41600</v>
      </c>
      <c r="M663" s="3">
        <f t="shared" si="21"/>
        <v>0</v>
      </c>
    </row>
    <row r="664" spans="1:13" x14ac:dyDescent="0.25">
      <c r="A664" t="s">
        <v>849</v>
      </c>
      <c r="B664" t="s">
        <v>22</v>
      </c>
      <c r="C664" t="s">
        <v>191</v>
      </c>
      <c r="D664" t="s">
        <v>13</v>
      </c>
      <c r="E664" t="s">
        <v>14</v>
      </c>
      <c r="F664" s="1">
        <v>45224</v>
      </c>
      <c r="G664" t="s">
        <v>191</v>
      </c>
      <c r="H664">
        <v>2644.1393929999999</v>
      </c>
      <c r="I664">
        <v>132.5</v>
      </c>
      <c r="J664">
        <v>0</v>
      </c>
      <c r="K664" s="2">
        <f t="shared" si="20"/>
        <v>41507.999527849053</v>
      </c>
      <c r="L664" s="2">
        <v>39520</v>
      </c>
      <c r="M664" s="3">
        <f t="shared" si="21"/>
        <v>5.0303631777556923E-2</v>
      </c>
    </row>
    <row r="665" spans="1:13" x14ac:dyDescent="0.25">
      <c r="A665" t="s">
        <v>862</v>
      </c>
      <c r="B665" t="s">
        <v>420</v>
      </c>
      <c r="C665" t="s">
        <v>12</v>
      </c>
      <c r="D665" t="s">
        <v>13</v>
      </c>
      <c r="E665" t="s">
        <v>14</v>
      </c>
      <c r="F665" s="1">
        <v>45243</v>
      </c>
      <c r="G665" t="s">
        <v>12</v>
      </c>
      <c r="H665">
        <v>1880.169216</v>
      </c>
      <c r="I665">
        <v>96</v>
      </c>
      <c r="J665">
        <v>0</v>
      </c>
      <c r="K665" s="2">
        <f t="shared" si="20"/>
        <v>40736.999680000001</v>
      </c>
      <c r="L665" s="2">
        <v>39520</v>
      </c>
      <c r="M665" s="3">
        <f t="shared" si="21"/>
        <v>3.0794526315789383E-2</v>
      </c>
    </row>
    <row r="666" spans="1:13" x14ac:dyDescent="0.25">
      <c r="A666" t="s">
        <v>724</v>
      </c>
      <c r="B666" t="s">
        <v>725</v>
      </c>
      <c r="C666" t="s">
        <v>12</v>
      </c>
      <c r="D666" t="s">
        <v>13</v>
      </c>
      <c r="E666" t="s">
        <v>14</v>
      </c>
      <c r="F666" s="1">
        <v>45293</v>
      </c>
      <c r="G666" t="s">
        <v>12</v>
      </c>
      <c r="H666">
        <v>2932.0672509999999</v>
      </c>
      <c r="I666">
        <v>150</v>
      </c>
      <c r="J666">
        <v>0</v>
      </c>
      <c r="K666" s="2">
        <f t="shared" si="20"/>
        <v>40657.999213866664</v>
      </c>
      <c r="L666" s="2">
        <v>39520</v>
      </c>
      <c r="M666" s="3">
        <f t="shared" si="21"/>
        <v>2.8795526666666627E-2</v>
      </c>
    </row>
    <row r="667" spans="1:13" x14ac:dyDescent="0.25">
      <c r="A667" t="s">
        <v>600</v>
      </c>
      <c r="B667" t="s">
        <v>292</v>
      </c>
      <c r="C667" t="s">
        <v>293</v>
      </c>
      <c r="D667" t="s">
        <v>13</v>
      </c>
      <c r="E667" t="s">
        <v>14</v>
      </c>
      <c r="F667" s="1">
        <v>45376</v>
      </c>
      <c r="G667" t="s">
        <v>293</v>
      </c>
      <c r="H667">
        <v>2655.0730560000002</v>
      </c>
      <c r="I667">
        <v>136</v>
      </c>
      <c r="J667">
        <v>0</v>
      </c>
      <c r="K667" s="2">
        <f t="shared" si="20"/>
        <v>40606.999680000008</v>
      </c>
      <c r="L667" s="2">
        <v>39520</v>
      </c>
      <c r="M667" s="3">
        <f t="shared" si="21"/>
        <v>2.7505052631579208E-2</v>
      </c>
    </row>
    <row r="668" spans="1:13" x14ac:dyDescent="0.25">
      <c r="A668" t="s">
        <v>432</v>
      </c>
      <c r="B668" t="s">
        <v>70</v>
      </c>
      <c r="C668" t="s">
        <v>31</v>
      </c>
      <c r="D668" t="s">
        <v>13</v>
      </c>
      <c r="E668" t="s">
        <v>14</v>
      </c>
      <c r="F668" s="1">
        <v>44473</v>
      </c>
      <c r="G668" t="s">
        <v>31</v>
      </c>
      <c r="H668">
        <v>2949.3231839999999</v>
      </c>
      <c r="I668">
        <v>152</v>
      </c>
      <c r="J668">
        <v>0</v>
      </c>
      <c r="K668" s="2">
        <f t="shared" si="20"/>
        <v>40359.159359999998</v>
      </c>
      <c r="L668" s="2">
        <v>38900.160000000003</v>
      </c>
      <c r="M668" s="3">
        <f t="shared" si="21"/>
        <v>3.7506256015399364E-2</v>
      </c>
    </row>
    <row r="669" spans="1:13" x14ac:dyDescent="0.25">
      <c r="A669" t="s">
        <v>297</v>
      </c>
      <c r="B669" t="s">
        <v>11</v>
      </c>
      <c r="C669" t="s">
        <v>12</v>
      </c>
      <c r="D669" t="s">
        <v>13</v>
      </c>
      <c r="E669" t="s">
        <v>14</v>
      </c>
      <c r="F669" s="1">
        <v>44452</v>
      </c>
      <c r="G669" t="s">
        <v>12</v>
      </c>
      <c r="H669">
        <v>2788.4076570000002</v>
      </c>
      <c r="I669">
        <v>144</v>
      </c>
      <c r="J669">
        <v>0</v>
      </c>
      <c r="K669" s="2">
        <f t="shared" si="20"/>
        <v>40276.999490000002</v>
      </c>
      <c r="L669" s="2">
        <v>39104</v>
      </c>
      <c r="M669" s="3">
        <f t="shared" si="21"/>
        <v>2.9996918218085256E-2</v>
      </c>
    </row>
    <row r="670" spans="1:13" x14ac:dyDescent="0.25">
      <c r="A670" t="s">
        <v>716</v>
      </c>
      <c r="B670" t="s">
        <v>623</v>
      </c>
      <c r="C670" t="s">
        <v>44</v>
      </c>
      <c r="D670" t="s">
        <v>13</v>
      </c>
      <c r="E670" t="s">
        <v>14</v>
      </c>
      <c r="F670" s="1">
        <v>45495</v>
      </c>
      <c r="G670" t="s">
        <v>44</v>
      </c>
      <c r="H670">
        <v>2640.984375</v>
      </c>
      <c r="I670">
        <v>136.75</v>
      </c>
      <c r="J670">
        <v>0</v>
      </c>
      <c r="K670" s="2">
        <f t="shared" si="20"/>
        <v>40170</v>
      </c>
      <c r="L670" s="2">
        <v>39000</v>
      </c>
      <c r="M670" s="3">
        <f t="shared" si="21"/>
        <v>3.0000000000000027E-2</v>
      </c>
    </row>
    <row r="671" spans="1:13" x14ac:dyDescent="0.25">
      <c r="A671" t="s">
        <v>897</v>
      </c>
      <c r="B671" t="s">
        <v>186</v>
      </c>
      <c r="C671" t="s">
        <v>31</v>
      </c>
      <c r="D671" t="s">
        <v>13</v>
      </c>
      <c r="E671" t="s">
        <v>14</v>
      </c>
      <c r="F671" s="1">
        <v>44487</v>
      </c>
      <c r="G671" t="s">
        <v>31</v>
      </c>
      <c r="H671">
        <v>2926.4940000000001</v>
      </c>
      <c r="I671">
        <v>152</v>
      </c>
      <c r="J671">
        <v>0</v>
      </c>
      <c r="K671" s="2">
        <f t="shared" si="20"/>
        <v>40046.76</v>
      </c>
      <c r="L671" s="2">
        <v>38993.759999999995</v>
      </c>
      <c r="M671" s="3">
        <f t="shared" si="21"/>
        <v>2.7004320691310868E-2</v>
      </c>
    </row>
    <row r="672" spans="1:13" x14ac:dyDescent="0.25">
      <c r="A672" t="s">
        <v>76</v>
      </c>
      <c r="B672" t="s">
        <v>11</v>
      </c>
      <c r="C672" t="s">
        <v>31</v>
      </c>
      <c r="D672" t="s">
        <v>13</v>
      </c>
      <c r="E672" t="s">
        <v>14</v>
      </c>
      <c r="F672" s="1">
        <v>45656</v>
      </c>
      <c r="G672" t="s">
        <v>31</v>
      </c>
      <c r="H672">
        <v>2772</v>
      </c>
      <c r="I672">
        <v>144</v>
      </c>
      <c r="J672">
        <v>0</v>
      </c>
      <c r="K672" s="2">
        <f t="shared" si="20"/>
        <v>40040</v>
      </c>
      <c r="L672" s="2">
        <v>40040</v>
      </c>
      <c r="M672" s="3">
        <f t="shared" si="21"/>
        <v>0</v>
      </c>
    </row>
    <row r="673" spans="1:13" x14ac:dyDescent="0.25">
      <c r="A673" t="s">
        <v>755</v>
      </c>
      <c r="B673" t="s">
        <v>11</v>
      </c>
      <c r="C673" t="s">
        <v>31</v>
      </c>
      <c r="D673" t="s">
        <v>13</v>
      </c>
      <c r="E673" t="s">
        <v>14</v>
      </c>
      <c r="F673" s="1">
        <v>45656</v>
      </c>
      <c r="G673" t="s">
        <v>31</v>
      </c>
      <c r="H673">
        <v>2926</v>
      </c>
      <c r="I673">
        <v>152</v>
      </c>
      <c r="J673">
        <v>0</v>
      </c>
      <c r="K673" s="2">
        <f t="shared" si="20"/>
        <v>40040</v>
      </c>
      <c r="L673" s="2">
        <v>40040</v>
      </c>
      <c r="M673" s="3">
        <f t="shared" si="21"/>
        <v>0</v>
      </c>
    </row>
    <row r="674" spans="1:13" x14ac:dyDescent="0.25">
      <c r="A674" t="s">
        <v>706</v>
      </c>
      <c r="B674" t="s">
        <v>186</v>
      </c>
      <c r="C674" t="s">
        <v>31</v>
      </c>
      <c r="D674" t="s">
        <v>13</v>
      </c>
      <c r="E674" t="s">
        <v>14</v>
      </c>
      <c r="F674" s="1">
        <v>42660</v>
      </c>
      <c r="G674" t="s">
        <v>31</v>
      </c>
      <c r="H674">
        <v>2687.6742199999999</v>
      </c>
      <c r="I674">
        <v>140</v>
      </c>
      <c r="J674">
        <v>0</v>
      </c>
      <c r="K674" s="2">
        <f t="shared" si="20"/>
        <v>39931.15984</v>
      </c>
      <c r="L674" s="2">
        <v>38900.160000000003</v>
      </c>
      <c r="M674" s="3">
        <f t="shared" si="21"/>
        <v>2.6503742915196193E-2</v>
      </c>
    </row>
    <row r="675" spans="1:13" x14ac:dyDescent="0.25">
      <c r="A675" t="s">
        <v>174</v>
      </c>
      <c r="B675" t="s">
        <v>175</v>
      </c>
      <c r="C675" t="s">
        <v>176</v>
      </c>
      <c r="D675" t="s">
        <v>13</v>
      </c>
      <c r="E675" t="s">
        <v>14</v>
      </c>
      <c r="F675" s="1">
        <v>45733</v>
      </c>
      <c r="G675" t="s">
        <v>176</v>
      </c>
      <c r="H675">
        <v>2774</v>
      </c>
      <c r="I675">
        <v>146</v>
      </c>
      <c r="J675">
        <v>0</v>
      </c>
      <c r="K675" s="2">
        <f t="shared" si="20"/>
        <v>39520</v>
      </c>
      <c r="L675" s="2">
        <v>39520</v>
      </c>
      <c r="M675" s="3">
        <f t="shared" si="21"/>
        <v>0</v>
      </c>
    </row>
    <row r="676" spans="1:13" x14ac:dyDescent="0.25">
      <c r="A676" t="s">
        <v>325</v>
      </c>
      <c r="B676" t="s">
        <v>97</v>
      </c>
      <c r="C676" t="s">
        <v>31</v>
      </c>
      <c r="D676" t="s">
        <v>13</v>
      </c>
      <c r="E676" t="s">
        <v>14</v>
      </c>
      <c r="F676" s="1">
        <v>45832</v>
      </c>
      <c r="G676" t="s">
        <v>31</v>
      </c>
      <c r="H676">
        <v>2584</v>
      </c>
      <c r="I676">
        <v>136</v>
      </c>
      <c r="J676">
        <v>0</v>
      </c>
      <c r="K676" s="2">
        <f t="shared" si="20"/>
        <v>39520</v>
      </c>
      <c r="L676" s="2">
        <v>39520</v>
      </c>
      <c r="M676" s="3">
        <f t="shared" si="21"/>
        <v>0</v>
      </c>
    </row>
    <row r="677" spans="1:13" x14ac:dyDescent="0.25">
      <c r="A677" t="s">
        <v>361</v>
      </c>
      <c r="B677" t="s">
        <v>97</v>
      </c>
      <c r="C677" t="s">
        <v>31</v>
      </c>
      <c r="D677" t="s">
        <v>13</v>
      </c>
      <c r="E677" t="s">
        <v>14</v>
      </c>
      <c r="F677" s="1">
        <v>45856</v>
      </c>
      <c r="G677" t="s">
        <v>31</v>
      </c>
      <c r="H677">
        <v>764.75</v>
      </c>
      <c r="I677">
        <v>40.25</v>
      </c>
      <c r="J677">
        <v>0</v>
      </c>
      <c r="K677" s="2">
        <f t="shared" si="20"/>
        <v>39520</v>
      </c>
      <c r="L677" s="2" t="e">
        <v>#N/A</v>
      </c>
      <c r="M677" s="3">
        <f t="shared" si="21"/>
        <v>0</v>
      </c>
    </row>
    <row r="678" spans="1:13" x14ac:dyDescent="0.25">
      <c r="A678" t="s">
        <v>651</v>
      </c>
      <c r="B678" t="s">
        <v>196</v>
      </c>
      <c r="C678" t="s">
        <v>44</v>
      </c>
      <c r="D678" t="s">
        <v>13</v>
      </c>
      <c r="E678" t="s">
        <v>14</v>
      </c>
      <c r="F678" s="1">
        <v>45729</v>
      </c>
      <c r="G678" t="s">
        <v>44</v>
      </c>
      <c r="H678">
        <v>2736</v>
      </c>
      <c r="I678">
        <v>144</v>
      </c>
      <c r="J678">
        <v>0</v>
      </c>
      <c r="K678" s="2">
        <f t="shared" si="20"/>
        <v>39520</v>
      </c>
      <c r="L678" s="2">
        <v>39520</v>
      </c>
      <c r="M678" s="3">
        <f t="shared" si="21"/>
        <v>0</v>
      </c>
    </row>
    <row r="679" spans="1:13" x14ac:dyDescent="0.25">
      <c r="A679" t="s">
        <v>954</v>
      </c>
      <c r="B679" t="s">
        <v>97</v>
      </c>
      <c r="C679" t="s">
        <v>44</v>
      </c>
      <c r="D679" t="s">
        <v>13</v>
      </c>
      <c r="E679" t="s">
        <v>14</v>
      </c>
      <c r="F679" s="1">
        <v>45862</v>
      </c>
      <c r="G679" t="s">
        <v>44</v>
      </c>
      <c r="H679">
        <v>152</v>
      </c>
      <c r="I679">
        <v>8</v>
      </c>
      <c r="J679">
        <v>0</v>
      </c>
      <c r="K679" s="2">
        <f t="shared" si="20"/>
        <v>39520</v>
      </c>
      <c r="L679" s="2" t="e">
        <v>#N/A</v>
      </c>
      <c r="M679" s="3">
        <f t="shared" si="21"/>
        <v>0</v>
      </c>
    </row>
    <row r="680" spans="1:13" x14ac:dyDescent="0.25">
      <c r="A680" t="s">
        <v>962</v>
      </c>
      <c r="B680" t="s">
        <v>70</v>
      </c>
      <c r="C680" t="s">
        <v>31</v>
      </c>
      <c r="D680" t="s">
        <v>13</v>
      </c>
      <c r="E680" t="s">
        <v>14</v>
      </c>
      <c r="F680" s="1">
        <v>45663</v>
      </c>
      <c r="G680" t="s">
        <v>31</v>
      </c>
      <c r="H680">
        <v>2880.4</v>
      </c>
      <c r="I680">
        <v>152</v>
      </c>
      <c r="J680">
        <v>0</v>
      </c>
      <c r="K680" s="2">
        <f t="shared" si="20"/>
        <v>39416</v>
      </c>
      <c r="L680" s="2">
        <v>39416</v>
      </c>
      <c r="M680" s="3">
        <f t="shared" si="21"/>
        <v>0</v>
      </c>
    </row>
    <row r="681" spans="1:13" x14ac:dyDescent="0.25">
      <c r="A681" t="s">
        <v>1003</v>
      </c>
      <c r="B681" t="s">
        <v>443</v>
      </c>
      <c r="C681" t="s">
        <v>146</v>
      </c>
      <c r="D681" t="s">
        <v>13</v>
      </c>
      <c r="E681" t="s">
        <v>14</v>
      </c>
      <c r="F681" s="1">
        <v>38068</v>
      </c>
      <c r="G681" t="s">
        <v>146</v>
      </c>
      <c r="H681">
        <v>2874.4222960000002</v>
      </c>
      <c r="I681">
        <v>152</v>
      </c>
      <c r="J681">
        <v>0</v>
      </c>
      <c r="K681" s="2">
        <f t="shared" si="20"/>
        <v>39334.199840000001</v>
      </c>
      <c r="L681" s="2">
        <v>38563.199999999997</v>
      </c>
      <c r="M681" s="3">
        <f t="shared" si="21"/>
        <v>1.9993149946062605E-2</v>
      </c>
    </row>
    <row r="682" spans="1:13" x14ac:dyDescent="0.25">
      <c r="A682" t="s">
        <v>185</v>
      </c>
      <c r="B682" t="s">
        <v>186</v>
      </c>
      <c r="C682" t="s">
        <v>12</v>
      </c>
      <c r="D682" t="s">
        <v>13</v>
      </c>
      <c r="E682" t="s">
        <v>14</v>
      </c>
      <c r="F682" s="1">
        <v>45600</v>
      </c>
      <c r="G682" t="s">
        <v>12</v>
      </c>
      <c r="H682">
        <v>2850</v>
      </c>
      <c r="I682">
        <v>152</v>
      </c>
      <c r="J682">
        <v>0</v>
      </c>
      <c r="K682" s="2">
        <f t="shared" si="20"/>
        <v>39000</v>
      </c>
      <c r="L682" s="2">
        <v>39000</v>
      </c>
      <c r="M682" s="3">
        <f t="shared" si="21"/>
        <v>0</v>
      </c>
    </row>
    <row r="683" spans="1:13" x14ac:dyDescent="0.25">
      <c r="A683" t="s">
        <v>990</v>
      </c>
      <c r="B683" t="s">
        <v>70</v>
      </c>
      <c r="C683" t="s">
        <v>44</v>
      </c>
      <c r="D683" t="s">
        <v>13</v>
      </c>
      <c r="E683" t="s">
        <v>14</v>
      </c>
      <c r="F683" s="1">
        <v>45804</v>
      </c>
      <c r="G683" t="s">
        <v>44</v>
      </c>
      <c r="H683">
        <v>1739.1</v>
      </c>
      <c r="I683">
        <v>93</v>
      </c>
      <c r="J683">
        <v>0</v>
      </c>
      <c r="K683" s="2">
        <f t="shared" si="20"/>
        <v>38896</v>
      </c>
      <c r="L683" s="2">
        <v>38895.999999999993</v>
      </c>
      <c r="M683" s="3">
        <f t="shared" si="21"/>
        <v>2.2204460492503131E-16</v>
      </c>
    </row>
    <row r="684" spans="1:13" x14ac:dyDescent="0.25">
      <c r="A684" t="s">
        <v>990</v>
      </c>
      <c r="B684" t="s">
        <v>220</v>
      </c>
      <c r="C684" t="s">
        <v>44</v>
      </c>
      <c r="D684" t="s">
        <v>13</v>
      </c>
      <c r="E684" t="s">
        <v>14</v>
      </c>
      <c r="F684" s="1">
        <v>45804</v>
      </c>
      <c r="G684" t="s">
        <v>44</v>
      </c>
      <c r="H684">
        <v>953.7</v>
      </c>
      <c r="I684">
        <v>51</v>
      </c>
      <c r="J684">
        <v>0</v>
      </c>
      <c r="K684" s="2">
        <f t="shared" si="20"/>
        <v>38896</v>
      </c>
      <c r="L684" s="2">
        <v>38895.999999999993</v>
      </c>
      <c r="M684" s="3">
        <f t="shared" si="21"/>
        <v>2.2204460492503131E-16</v>
      </c>
    </row>
    <row r="685" spans="1:13" x14ac:dyDescent="0.25">
      <c r="A685" t="s">
        <v>410</v>
      </c>
      <c r="B685" t="s">
        <v>11</v>
      </c>
      <c r="C685" t="s">
        <v>31</v>
      </c>
      <c r="D685" t="s">
        <v>13</v>
      </c>
      <c r="E685" t="s">
        <v>14</v>
      </c>
      <c r="F685" s="1">
        <v>44466</v>
      </c>
      <c r="G685" t="s">
        <v>31</v>
      </c>
      <c r="H685">
        <v>2281.2419279999999</v>
      </c>
      <c r="I685">
        <v>124.25</v>
      </c>
      <c r="J685">
        <v>0</v>
      </c>
      <c r="K685" s="2">
        <f t="shared" si="20"/>
        <v>38188.999680000001</v>
      </c>
      <c r="L685" s="2">
        <v>37440</v>
      </c>
      <c r="M685" s="3">
        <f t="shared" si="21"/>
        <v>2.000533333333343E-2</v>
      </c>
    </row>
    <row r="686" spans="1:13" x14ac:dyDescent="0.25">
      <c r="A686" t="s">
        <v>563</v>
      </c>
      <c r="B686" t="s">
        <v>70</v>
      </c>
      <c r="C686" t="s">
        <v>31</v>
      </c>
      <c r="D686" t="s">
        <v>13</v>
      </c>
      <c r="E686" t="s">
        <v>14</v>
      </c>
      <c r="F686" s="1">
        <v>45789</v>
      </c>
      <c r="G686" t="s">
        <v>31</v>
      </c>
      <c r="H686">
        <v>2304</v>
      </c>
      <c r="I686">
        <v>128</v>
      </c>
      <c r="J686">
        <v>0</v>
      </c>
      <c r="K686" s="2">
        <f t="shared" si="20"/>
        <v>37440</v>
      </c>
      <c r="L686" s="2">
        <v>37440</v>
      </c>
      <c r="M686" s="3">
        <f t="shared" si="21"/>
        <v>0</v>
      </c>
    </row>
    <row r="687" spans="1:13" x14ac:dyDescent="0.25">
      <c r="A687" t="s">
        <v>565</v>
      </c>
      <c r="B687" t="s">
        <v>186</v>
      </c>
      <c r="C687" t="s">
        <v>31</v>
      </c>
      <c r="D687" t="s">
        <v>13</v>
      </c>
      <c r="E687" t="s">
        <v>14</v>
      </c>
      <c r="F687" s="1">
        <v>45728</v>
      </c>
      <c r="G687" t="s">
        <v>31</v>
      </c>
      <c r="H687">
        <v>2736</v>
      </c>
      <c r="I687">
        <v>152</v>
      </c>
      <c r="J687">
        <v>0</v>
      </c>
      <c r="K687" s="2">
        <f t="shared" si="20"/>
        <v>37440</v>
      </c>
      <c r="L687" s="2">
        <v>37440</v>
      </c>
      <c r="M687" s="3">
        <f t="shared" si="21"/>
        <v>0</v>
      </c>
    </row>
    <row r="688" spans="1:13" x14ac:dyDescent="0.25">
      <c r="A688" t="s">
        <v>620</v>
      </c>
      <c r="B688" t="s">
        <v>70</v>
      </c>
      <c r="C688" t="s">
        <v>31</v>
      </c>
      <c r="D688" t="s">
        <v>13</v>
      </c>
      <c r="E688" t="s">
        <v>14</v>
      </c>
      <c r="F688" s="1">
        <v>45778</v>
      </c>
      <c r="G688" t="s">
        <v>31</v>
      </c>
      <c r="H688">
        <v>2592</v>
      </c>
      <c r="I688">
        <v>144</v>
      </c>
      <c r="J688">
        <v>0</v>
      </c>
      <c r="K688" s="2">
        <f t="shared" si="20"/>
        <v>37440</v>
      </c>
      <c r="L688" s="2">
        <v>37440</v>
      </c>
      <c r="M688" s="3">
        <f t="shared" si="21"/>
        <v>0</v>
      </c>
    </row>
    <row r="689" spans="1:13" x14ac:dyDescent="0.25">
      <c r="A689" t="s">
        <v>700</v>
      </c>
      <c r="B689" t="s">
        <v>43</v>
      </c>
      <c r="C689" t="s">
        <v>31</v>
      </c>
      <c r="D689" t="s">
        <v>13</v>
      </c>
      <c r="E689" t="s">
        <v>14</v>
      </c>
      <c r="F689" s="1">
        <v>45695</v>
      </c>
      <c r="G689" t="s">
        <v>31</v>
      </c>
      <c r="H689">
        <v>954</v>
      </c>
      <c r="I689">
        <v>53</v>
      </c>
      <c r="J689">
        <v>0</v>
      </c>
      <c r="K689" s="2">
        <f t="shared" si="20"/>
        <v>37440</v>
      </c>
      <c r="L689" s="2">
        <v>37440</v>
      </c>
      <c r="M689" s="3">
        <f t="shared" si="21"/>
        <v>0</v>
      </c>
    </row>
    <row r="690" spans="1:13" x14ac:dyDescent="0.25">
      <c r="A690" t="s">
        <v>700</v>
      </c>
      <c r="B690" t="s">
        <v>70</v>
      </c>
      <c r="C690" t="s">
        <v>31</v>
      </c>
      <c r="D690" t="s">
        <v>13</v>
      </c>
      <c r="E690" t="s">
        <v>14</v>
      </c>
      <c r="F690" s="1">
        <v>45695</v>
      </c>
      <c r="G690" t="s">
        <v>31</v>
      </c>
      <c r="H690">
        <v>1782</v>
      </c>
      <c r="I690">
        <v>99</v>
      </c>
      <c r="J690">
        <v>0</v>
      </c>
      <c r="K690" s="2">
        <f t="shared" si="20"/>
        <v>37440</v>
      </c>
      <c r="L690" s="2">
        <v>37440</v>
      </c>
      <c r="M690" s="3">
        <f t="shared" si="21"/>
        <v>0</v>
      </c>
    </row>
    <row r="691" spans="1:13" x14ac:dyDescent="0.25">
      <c r="A691" t="s">
        <v>805</v>
      </c>
      <c r="B691" t="s">
        <v>70</v>
      </c>
      <c r="C691" t="s">
        <v>31</v>
      </c>
      <c r="D691" t="s">
        <v>13</v>
      </c>
      <c r="E691" t="s">
        <v>14</v>
      </c>
      <c r="F691" s="1">
        <v>45733</v>
      </c>
      <c r="G691" t="s">
        <v>31</v>
      </c>
      <c r="H691">
        <v>2592</v>
      </c>
      <c r="I691">
        <v>144</v>
      </c>
      <c r="J691">
        <v>0</v>
      </c>
      <c r="K691" s="2">
        <f t="shared" si="20"/>
        <v>37440</v>
      </c>
      <c r="L691" s="2">
        <v>37440</v>
      </c>
      <c r="M691" s="3">
        <f t="shared" si="21"/>
        <v>0</v>
      </c>
    </row>
    <row r="692" spans="1:13" x14ac:dyDescent="0.25">
      <c r="A692" t="s">
        <v>925</v>
      </c>
      <c r="B692" t="s">
        <v>43</v>
      </c>
      <c r="C692" t="s">
        <v>31</v>
      </c>
      <c r="D692" t="s">
        <v>13</v>
      </c>
      <c r="E692" t="s">
        <v>14</v>
      </c>
      <c r="F692" s="1">
        <v>45798</v>
      </c>
      <c r="G692" t="s">
        <v>31</v>
      </c>
      <c r="H692">
        <v>2664</v>
      </c>
      <c r="I692">
        <v>148</v>
      </c>
      <c r="J692">
        <v>0</v>
      </c>
      <c r="K692" s="2">
        <f t="shared" si="20"/>
        <v>37440</v>
      </c>
      <c r="L692" s="2">
        <v>37440</v>
      </c>
      <c r="M692" s="3">
        <f t="shared" si="21"/>
        <v>0</v>
      </c>
    </row>
  </sheetData>
  <autoFilter ref="A1:M1097" xr:uid="{00000000-0009-0000-0000-000000000000}"/>
  <sortState xmlns:xlrd2="http://schemas.microsoft.com/office/spreadsheetml/2017/richdata2" ref="A2:K1097">
    <sortCondition descending="1" ref="K2:K10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EmployeeHoursByJob_375d701b-2b9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Curphey, Matthew</dc:creator>
  <cp:lastModifiedBy>Curphey, Matthew</cp:lastModifiedBy>
  <dcterms:created xsi:type="dcterms:W3CDTF">2025-07-31T16:01:45Z</dcterms:created>
  <dcterms:modified xsi:type="dcterms:W3CDTF">2026-03-10T15:17:50Z</dcterms:modified>
</cp:coreProperties>
</file>