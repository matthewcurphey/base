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ase\"/>
    </mc:Choice>
  </mc:AlternateContent>
  <xr:revisionPtr revIDLastSave="0" documentId="13_ncr:1_{EA3BA776-55C0-462D-AB60-2293DE651763}" xr6:coauthVersionLast="47" xr6:coauthVersionMax="47" xr10:uidLastSave="{00000000-0000-0000-0000-000000000000}"/>
  <bookViews>
    <workbookView xWindow="12555" yWindow="1890" windowWidth="40740" windowHeight="21105" xr2:uid="{BD840A8F-52BF-40CB-A8D6-1A639443F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" i="1" l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B4" i="1"/>
</calcChain>
</file>

<file path=xl/sharedStrings.xml><?xml version="1.0" encoding="utf-8"?>
<sst xmlns="http://schemas.openxmlformats.org/spreadsheetml/2006/main" count="61" uniqueCount="61">
  <si>
    <t>Rev/GP</t>
  </si>
  <si>
    <t>CAS/BAN/NKS</t>
  </si>
  <si>
    <t xml:space="preserve">Opex </t>
  </si>
  <si>
    <t>m</t>
  </si>
  <si>
    <t>CAS/BAN</t>
  </si>
  <si>
    <t>NKS</t>
  </si>
  <si>
    <t>EBITDA ($M)</t>
  </si>
  <si>
    <t>State</t>
  </si>
  <si>
    <t>Reality on the Ground</t>
  </si>
  <si>
    <t>PE / Lender Behavior</t>
  </si>
  <si>
    <t>Management Behavior</t>
  </si>
  <si>
    <t>&lt; 20</t>
  </si>
  <si>
    <t>🔴 Crisis</t>
  </si>
  <si>
    <t>Cash burn, covenant panic, suppliers nervous</t>
  </si>
  <si>
    <t>Emergency oversight, lender controls, forced actions</t>
  </si>
  <si>
    <t>Panic, blame, leadership exits</t>
  </si>
  <si>
    <t>20–30</t>
  </si>
  <si>
    <t>🔴 Distress</t>
  </si>
  <si>
    <t>Barely functioning, margin erosion obvious</t>
  </si>
  <si>
    <t>Tight reporting, downside cases, prepare contingencies</t>
  </si>
  <si>
    <t>Firefighting, defensive pricing</t>
  </si>
  <si>
    <t>30–40</t>
  </si>
  <si>
    <t>🟠 Weak / Unstable</t>
  </si>
  <si>
    <t>What you were in 2025</t>
  </si>
  <si>
    <t>Tolerated short-term, pressure for fixes</t>
  </si>
  <si>
    <t>Cost cuts, restructuring narratives</t>
  </si>
  <si>
    <t>40–50</t>
  </si>
  <si>
    <t>🟡 Sub-Zombie</t>
  </si>
  <si>
    <t>Post-RIF “hopeful but fragile”</t>
  </si>
  <si>
    <t>Watching closely, no patience for slippage</t>
  </si>
  <si>
    <t>Pricing discipline pushed hard</t>
  </si>
  <si>
    <t>50–60</t>
  </si>
  <si>
    <t>🟢 Zombie (Target Zone)</t>
  </si>
  <si>
    <t>Stable, boring, smaller business</t>
  </si>
  <si>
    <r>
      <t>Hands off</t>
    </r>
    <r>
      <rPr>
        <sz val="11"/>
        <color theme="1"/>
        <rFont val="Aptos Narrow"/>
        <family val="2"/>
        <scheme val="minor"/>
      </rPr>
      <t>, lenders calm, PE disengages</t>
    </r>
  </si>
  <si>
    <t>No heroics, hold the line</t>
  </si>
  <si>
    <t>60–70</t>
  </si>
  <si>
    <t>🟢 Comfortable Zombie</t>
  </si>
  <si>
    <t>Margin cushion appears</t>
  </si>
  <si>
    <t>PE relaxed, optionality preserved</t>
  </si>
  <si>
    <t>Minor reinvestment chatter</t>
  </si>
  <si>
    <t>70–80</t>
  </si>
  <si>
    <t>🟡 Temptation Zone</t>
  </si>
  <si>
    <t>Looks “better than expected”</t>
  </si>
  <si>
    <t>PE starts scenario modeling</t>
  </si>
  <si>
    <t>Exec optimism creeps in</t>
  </si>
  <si>
    <t>80–90</t>
  </si>
  <si>
    <t>🟠 Exit Optics Zone</t>
  </si>
  <si>
    <t>EBITDA optics look credible</t>
  </si>
  <si>
    <t>Bankers, exit decks, comps</t>
  </si>
  <si>
    <t>Pressure to grow / narrate</t>
  </si>
  <si>
    <t>90–100</t>
  </si>
  <si>
    <t>🔴 Exit Narrative</t>
  </si>
  <si>
    <t>Back near underwrite</t>
  </si>
  <si>
    <t>Formal exit prep, IC discussions</t>
  </si>
  <si>
    <t>Risk of reinvestment mistakes</t>
  </si>
  <si>
    <t>100+</t>
  </si>
  <si>
    <t>🔴 Monetization</t>
  </si>
  <si>
    <t>Original thesis resurrected</t>
  </si>
  <si>
    <t>Sale / recap / dividend</t>
  </si>
  <si>
    <t>Everyone gets distracted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</si>
</sst>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0" applyNumberFormat="1"/>
    <xf numFmtId="6" fontId="0" fillId="0" borderId="0" xfId="0" applyNumberFormat="1"/>
    <xf numFmtId="164" fontId="0" fillId="0" borderId="0" xfId="0" applyNumberFormat="1"/>
    <xf numFmtId="0" fontId="2" fillId="0" borderId="0" xfId="0" applyFont="1"/>
    <xf numFmtId="164" fontId="2" fillId="0" borderId="0" xfId="1" applyNumberFormat="1" applyFont="1"/>
    <xf numFmtId="9" fontId="2" fillId="0" borderId="0" xfId="0" applyNumberFormat="1" applyFont="1"/>
    <xf numFmtId="164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04538-1DD2-4ECA-8E21-275F7965A04E}">
  <dimension ref="A1:AD34"/>
  <sheetViews>
    <sheetView tabSelected="1" workbookViewId="0">
      <selection activeCell="A14" sqref="A14:XFD14"/>
    </sheetView>
  </sheetViews>
  <sheetFormatPr defaultRowHeight="15" customHeight="1" x14ac:dyDescent="0.25"/>
  <cols>
    <col min="1" max="1" width="10.5703125" bestFit="1" customWidth="1"/>
    <col min="27" max="27" width="23.42578125" bestFit="1" customWidth="1"/>
    <col min="28" max="28" width="42.28515625" bestFit="1" customWidth="1"/>
    <col min="29" max="29" width="50.85546875" bestFit="1" customWidth="1"/>
    <col min="30" max="30" width="31.28515625" bestFit="1" customWidth="1"/>
  </cols>
  <sheetData>
    <row r="1" spans="1:30" ht="15" customHeight="1" x14ac:dyDescent="0.25">
      <c r="A1" t="s">
        <v>2</v>
      </c>
      <c r="B1" s="2">
        <v>75</v>
      </c>
      <c r="C1" t="s">
        <v>3</v>
      </c>
      <c r="Z1" s="8" t="s">
        <v>6</v>
      </c>
      <c r="AA1" s="8" t="s">
        <v>7</v>
      </c>
      <c r="AB1" s="8" t="s">
        <v>8</v>
      </c>
      <c r="AC1" s="8" t="s">
        <v>9</v>
      </c>
      <c r="AD1" s="8" t="s">
        <v>10</v>
      </c>
    </row>
    <row r="2" spans="1:30" ht="15" customHeight="1" x14ac:dyDescent="0.25">
      <c r="A2" t="s">
        <v>1</v>
      </c>
      <c r="W2" t="s">
        <v>5</v>
      </c>
      <c r="X2" s="1">
        <v>0.13</v>
      </c>
      <c r="Z2" s="10" t="s">
        <v>11</v>
      </c>
      <c r="AA2" s="9" t="s">
        <v>12</v>
      </c>
      <c r="AB2" s="9" t="s">
        <v>13</v>
      </c>
      <c r="AC2" s="9" t="s">
        <v>14</v>
      </c>
      <c r="AD2" s="9" t="s">
        <v>15</v>
      </c>
    </row>
    <row r="3" spans="1:30" ht="15" customHeight="1" x14ac:dyDescent="0.25">
      <c r="A3" s="4" t="s">
        <v>0</v>
      </c>
      <c r="B3" s="6">
        <v>0.1</v>
      </c>
      <c r="C3" s="6">
        <v>0.11</v>
      </c>
      <c r="D3" s="6">
        <v>0.12</v>
      </c>
      <c r="E3" s="6">
        <v>0.13</v>
      </c>
      <c r="F3" s="6">
        <v>0.14000000000000001</v>
      </c>
      <c r="G3" s="6">
        <v>0.15</v>
      </c>
      <c r="H3" s="6">
        <v>0.16</v>
      </c>
      <c r="I3" s="6">
        <v>0.17</v>
      </c>
      <c r="J3" s="6">
        <v>0.18</v>
      </c>
      <c r="K3" s="6">
        <v>0.19</v>
      </c>
      <c r="L3" s="6">
        <v>0.2</v>
      </c>
      <c r="M3" s="6">
        <v>0.21</v>
      </c>
      <c r="N3" s="6">
        <v>0.22</v>
      </c>
      <c r="O3" s="6">
        <v>0.23</v>
      </c>
      <c r="P3" s="6">
        <v>0.24</v>
      </c>
      <c r="Q3" s="6">
        <v>0.25</v>
      </c>
      <c r="R3" s="6">
        <v>0.26</v>
      </c>
      <c r="S3" s="6">
        <v>0.27</v>
      </c>
      <c r="T3" s="6">
        <v>0.28000000000000003</v>
      </c>
      <c r="U3" s="6">
        <v>0.28999999999999998</v>
      </c>
      <c r="V3" s="6">
        <v>0.3</v>
      </c>
      <c r="W3" s="4" t="s">
        <v>4</v>
      </c>
      <c r="Z3" s="10" t="s">
        <v>16</v>
      </c>
      <c r="AA3" s="9" t="s">
        <v>17</v>
      </c>
      <c r="AB3" s="9" t="s">
        <v>18</v>
      </c>
      <c r="AC3" s="9" t="s">
        <v>19</v>
      </c>
      <c r="AD3" s="9" t="s">
        <v>20</v>
      </c>
    </row>
    <row r="4" spans="1:30" ht="15" customHeight="1" x14ac:dyDescent="0.25">
      <c r="A4" s="5">
        <v>500</v>
      </c>
      <c r="B4" s="3">
        <f>($A4*B$3)-$B$1</f>
        <v>-25</v>
      </c>
      <c r="C4" s="3">
        <f t="shared" ref="C4:V16" si="0">($A4*C$3)-$B$1</f>
        <v>-20</v>
      </c>
      <c r="D4" s="3">
        <f t="shared" si="0"/>
        <v>-15</v>
      </c>
      <c r="E4" s="3">
        <f t="shared" si="0"/>
        <v>-10</v>
      </c>
      <c r="F4" s="3">
        <f t="shared" si="0"/>
        <v>-5</v>
      </c>
      <c r="G4" s="3">
        <f t="shared" si="0"/>
        <v>0</v>
      </c>
      <c r="H4" s="3">
        <f t="shared" si="0"/>
        <v>5</v>
      </c>
      <c r="I4" s="3">
        <f t="shared" si="0"/>
        <v>10</v>
      </c>
      <c r="J4" s="3">
        <f t="shared" si="0"/>
        <v>15</v>
      </c>
      <c r="K4" s="3">
        <f t="shared" si="0"/>
        <v>20</v>
      </c>
      <c r="L4" s="3">
        <f t="shared" si="0"/>
        <v>25</v>
      </c>
      <c r="M4" s="3">
        <f t="shared" si="0"/>
        <v>30</v>
      </c>
      <c r="N4" s="3">
        <f t="shared" si="0"/>
        <v>35</v>
      </c>
      <c r="O4" s="3">
        <f t="shared" si="0"/>
        <v>40</v>
      </c>
      <c r="P4" s="3">
        <f t="shared" si="0"/>
        <v>45</v>
      </c>
      <c r="Q4" s="3">
        <f t="shared" si="0"/>
        <v>50</v>
      </c>
      <c r="R4" s="3">
        <f t="shared" si="0"/>
        <v>55</v>
      </c>
      <c r="S4" s="3">
        <f t="shared" si="0"/>
        <v>60</v>
      </c>
      <c r="T4" s="3">
        <f t="shared" si="0"/>
        <v>65</v>
      </c>
      <c r="U4" s="3">
        <f t="shared" si="0"/>
        <v>70</v>
      </c>
      <c r="V4" s="3">
        <f t="shared" si="0"/>
        <v>75</v>
      </c>
      <c r="W4" s="7">
        <f>A4*(1-$X$2)</f>
        <v>435</v>
      </c>
      <c r="Z4" s="10" t="s">
        <v>21</v>
      </c>
      <c r="AA4" s="9" t="s">
        <v>22</v>
      </c>
      <c r="AB4" s="9" t="s">
        <v>23</v>
      </c>
      <c r="AC4" s="9" t="s">
        <v>24</v>
      </c>
      <c r="AD4" s="9" t="s">
        <v>25</v>
      </c>
    </row>
    <row r="5" spans="1:30" ht="15" customHeight="1" x14ac:dyDescent="0.25">
      <c r="A5" s="5">
        <v>550</v>
      </c>
      <c r="B5" s="3">
        <f t="shared" ref="B5:Q20" si="1">($A5*B$3)-$B$1</f>
        <v>-20</v>
      </c>
      <c r="C5" s="3">
        <f t="shared" si="0"/>
        <v>-14.5</v>
      </c>
      <c r="D5" s="3">
        <f t="shared" si="0"/>
        <v>-9</v>
      </c>
      <c r="E5" s="3">
        <f t="shared" si="0"/>
        <v>-3.5</v>
      </c>
      <c r="F5" s="3">
        <f t="shared" si="0"/>
        <v>2.0000000000000142</v>
      </c>
      <c r="G5" s="3">
        <f t="shared" si="0"/>
        <v>7.5</v>
      </c>
      <c r="H5" s="3">
        <f t="shared" si="0"/>
        <v>13</v>
      </c>
      <c r="I5" s="3">
        <f t="shared" si="0"/>
        <v>18.5</v>
      </c>
      <c r="J5" s="3">
        <f t="shared" si="0"/>
        <v>24</v>
      </c>
      <c r="K5" s="3">
        <f t="shared" si="0"/>
        <v>29.5</v>
      </c>
      <c r="L5" s="3">
        <f t="shared" si="0"/>
        <v>35</v>
      </c>
      <c r="M5" s="3">
        <f t="shared" si="0"/>
        <v>40.5</v>
      </c>
      <c r="N5" s="3">
        <f t="shared" si="0"/>
        <v>46</v>
      </c>
      <c r="O5" s="3">
        <f t="shared" si="0"/>
        <v>51.5</v>
      </c>
      <c r="P5" s="3">
        <f t="shared" si="0"/>
        <v>57</v>
      </c>
      <c r="Q5" s="3">
        <f t="shared" si="0"/>
        <v>62.5</v>
      </c>
      <c r="R5" s="3">
        <f t="shared" si="0"/>
        <v>68</v>
      </c>
      <c r="S5" s="3">
        <f t="shared" si="0"/>
        <v>73.5</v>
      </c>
      <c r="T5" s="3">
        <f t="shared" si="0"/>
        <v>79.000000000000028</v>
      </c>
      <c r="U5" s="3">
        <f t="shared" si="0"/>
        <v>84.5</v>
      </c>
      <c r="V5" s="3">
        <f t="shared" si="0"/>
        <v>90</v>
      </c>
      <c r="W5" s="7">
        <f t="shared" ref="W5:W34" si="2">A5*(1-$X$2)</f>
        <v>478.5</v>
      </c>
      <c r="Z5" s="10" t="s">
        <v>26</v>
      </c>
      <c r="AA5" s="9" t="s">
        <v>27</v>
      </c>
      <c r="AB5" s="9" t="s">
        <v>28</v>
      </c>
      <c r="AC5" s="9" t="s">
        <v>29</v>
      </c>
      <c r="AD5" s="9" t="s">
        <v>30</v>
      </c>
    </row>
    <row r="6" spans="1:30" ht="15" customHeight="1" x14ac:dyDescent="0.25">
      <c r="A6" s="5">
        <v>600</v>
      </c>
      <c r="B6" s="3">
        <f t="shared" si="1"/>
        <v>-15</v>
      </c>
      <c r="C6" s="3">
        <f t="shared" si="0"/>
        <v>-9</v>
      </c>
      <c r="D6" s="3">
        <f t="shared" si="0"/>
        <v>-3</v>
      </c>
      <c r="E6" s="3">
        <f t="shared" si="0"/>
        <v>3</v>
      </c>
      <c r="F6" s="3">
        <f t="shared" si="0"/>
        <v>9.0000000000000142</v>
      </c>
      <c r="G6" s="3">
        <f t="shared" si="0"/>
        <v>15</v>
      </c>
      <c r="H6" s="3">
        <f t="shared" si="0"/>
        <v>21</v>
      </c>
      <c r="I6" s="3">
        <f t="shared" si="0"/>
        <v>27.000000000000014</v>
      </c>
      <c r="J6" s="3">
        <f t="shared" si="0"/>
        <v>33</v>
      </c>
      <c r="K6" s="3">
        <f t="shared" si="0"/>
        <v>39</v>
      </c>
      <c r="L6" s="3">
        <f t="shared" si="0"/>
        <v>45</v>
      </c>
      <c r="M6" s="3">
        <f t="shared" si="0"/>
        <v>51</v>
      </c>
      <c r="N6" s="3">
        <f t="shared" si="0"/>
        <v>57</v>
      </c>
      <c r="O6" s="3">
        <f t="shared" si="0"/>
        <v>63</v>
      </c>
      <c r="P6" s="3">
        <f t="shared" si="0"/>
        <v>69</v>
      </c>
      <c r="Q6" s="3">
        <f t="shared" si="0"/>
        <v>75</v>
      </c>
      <c r="R6" s="3">
        <f t="shared" si="0"/>
        <v>81</v>
      </c>
      <c r="S6" s="3">
        <f t="shared" si="0"/>
        <v>87</v>
      </c>
      <c r="T6" s="3">
        <f t="shared" si="0"/>
        <v>93.000000000000028</v>
      </c>
      <c r="U6" s="3">
        <f t="shared" si="0"/>
        <v>99</v>
      </c>
      <c r="V6" s="3">
        <f t="shared" si="0"/>
        <v>105</v>
      </c>
      <c r="W6" s="7">
        <f t="shared" si="2"/>
        <v>522</v>
      </c>
      <c r="Z6" s="10" t="s">
        <v>31</v>
      </c>
      <c r="AA6" s="9" t="s">
        <v>32</v>
      </c>
      <c r="AB6" s="9" t="s">
        <v>33</v>
      </c>
      <c r="AC6" s="10" t="s">
        <v>34</v>
      </c>
      <c r="AD6" s="9" t="s">
        <v>35</v>
      </c>
    </row>
    <row r="7" spans="1:30" ht="15" customHeight="1" x14ac:dyDescent="0.25">
      <c r="A7" s="5">
        <v>650</v>
      </c>
      <c r="B7" s="3">
        <f t="shared" si="1"/>
        <v>-10</v>
      </c>
      <c r="C7" s="3">
        <f t="shared" si="0"/>
        <v>-3.5</v>
      </c>
      <c r="D7" s="3">
        <f t="shared" si="0"/>
        <v>3</v>
      </c>
      <c r="E7" s="3">
        <f t="shared" si="0"/>
        <v>9.5</v>
      </c>
      <c r="F7" s="3">
        <f t="shared" si="0"/>
        <v>16.000000000000014</v>
      </c>
      <c r="G7" s="3">
        <f t="shared" si="0"/>
        <v>22.5</v>
      </c>
      <c r="H7" s="3">
        <f t="shared" si="0"/>
        <v>29</v>
      </c>
      <c r="I7" s="3">
        <f t="shared" si="0"/>
        <v>35.500000000000014</v>
      </c>
      <c r="J7" s="3">
        <f t="shared" si="0"/>
        <v>42</v>
      </c>
      <c r="K7" s="3">
        <f t="shared" si="0"/>
        <v>48.5</v>
      </c>
      <c r="L7" s="3">
        <f t="shared" si="0"/>
        <v>55</v>
      </c>
      <c r="M7" s="3">
        <f t="shared" si="0"/>
        <v>61.5</v>
      </c>
      <c r="N7" s="3">
        <f t="shared" si="0"/>
        <v>68</v>
      </c>
      <c r="O7" s="3">
        <f t="shared" si="0"/>
        <v>74.5</v>
      </c>
      <c r="P7" s="3">
        <f t="shared" si="0"/>
        <v>81</v>
      </c>
      <c r="Q7" s="3">
        <f t="shared" si="0"/>
        <v>87.5</v>
      </c>
      <c r="R7" s="3">
        <f t="shared" si="0"/>
        <v>94</v>
      </c>
      <c r="S7" s="3">
        <f t="shared" si="0"/>
        <v>100.5</v>
      </c>
      <c r="T7" s="3">
        <f t="shared" si="0"/>
        <v>107.00000000000003</v>
      </c>
      <c r="U7" s="3">
        <f t="shared" si="0"/>
        <v>113.5</v>
      </c>
      <c r="V7" s="3">
        <f t="shared" si="0"/>
        <v>120</v>
      </c>
      <c r="W7" s="7">
        <f t="shared" si="2"/>
        <v>565.5</v>
      </c>
      <c r="Z7" s="10" t="s">
        <v>36</v>
      </c>
      <c r="AA7" s="9" t="s">
        <v>37</v>
      </c>
      <c r="AB7" s="9" t="s">
        <v>38</v>
      </c>
      <c r="AC7" s="9" t="s">
        <v>39</v>
      </c>
      <c r="AD7" s="9" t="s">
        <v>40</v>
      </c>
    </row>
    <row r="8" spans="1:30" ht="15" customHeight="1" x14ac:dyDescent="0.25">
      <c r="A8" s="5">
        <v>700</v>
      </c>
      <c r="B8" s="3">
        <f t="shared" si="1"/>
        <v>-5</v>
      </c>
      <c r="C8" s="3">
        <f t="shared" si="0"/>
        <v>2</v>
      </c>
      <c r="D8" s="3">
        <f t="shared" si="0"/>
        <v>9</v>
      </c>
      <c r="E8" s="3">
        <f t="shared" si="0"/>
        <v>16</v>
      </c>
      <c r="F8" s="3">
        <f t="shared" si="0"/>
        <v>23.000000000000014</v>
      </c>
      <c r="G8" s="3">
        <f t="shared" si="0"/>
        <v>30</v>
      </c>
      <c r="H8" s="3">
        <f t="shared" si="0"/>
        <v>37</v>
      </c>
      <c r="I8" s="3">
        <f t="shared" si="0"/>
        <v>44.000000000000014</v>
      </c>
      <c r="J8" s="3">
        <f t="shared" si="0"/>
        <v>51</v>
      </c>
      <c r="K8" s="3">
        <f t="shared" si="0"/>
        <v>58</v>
      </c>
      <c r="L8" s="3">
        <f t="shared" si="0"/>
        <v>65</v>
      </c>
      <c r="M8" s="3">
        <f t="shared" si="0"/>
        <v>72</v>
      </c>
      <c r="N8" s="3">
        <f t="shared" si="0"/>
        <v>79</v>
      </c>
      <c r="O8" s="3">
        <f t="shared" si="0"/>
        <v>86</v>
      </c>
      <c r="P8" s="3">
        <f t="shared" si="0"/>
        <v>93</v>
      </c>
      <c r="Q8" s="3">
        <f t="shared" si="0"/>
        <v>100</v>
      </c>
      <c r="R8" s="3">
        <f t="shared" si="0"/>
        <v>107</v>
      </c>
      <c r="S8" s="3">
        <f t="shared" si="0"/>
        <v>114</v>
      </c>
      <c r="T8" s="3">
        <f t="shared" si="0"/>
        <v>121.00000000000003</v>
      </c>
      <c r="U8" s="3">
        <f t="shared" si="0"/>
        <v>128</v>
      </c>
      <c r="V8" s="3">
        <f t="shared" si="0"/>
        <v>135</v>
      </c>
      <c r="W8" s="7">
        <f t="shared" si="2"/>
        <v>609</v>
      </c>
      <c r="Z8" s="10" t="s">
        <v>41</v>
      </c>
      <c r="AA8" s="9" t="s">
        <v>42</v>
      </c>
      <c r="AB8" s="9" t="s">
        <v>43</v>
      </c>
      <c r="AC8" s="9" t="s">
        <v>44</v>
      </c>
      <c r="AD8" s="9" t="s">
        <v>45</v>
      </c>
    </row>
    <row r="9" spans="1:30" ht="15" customHeight="1" x14ac:dyDescent="0.25">
      <c r="A9" s="5">
        <v>750</v>
      </c>
      <c r="B9" s="3">
        <f t="shared" si="1"/>
        <v>0</v>
      </c>
      <c r="C9" s="3">
        <f t="shared" si="0"/>
        <v>7.5</v>
      </c>
      <c r="D9" s="3">
        <f t="shared" si="0"/>
        <v>15</v>
      </c>
      <c r="E9" s="3">
        <f t="shared" si="0"/>
        <v>22.5</v>
      </c>
      <c r="F9" s="3">
        <f t="shared" si="0"/>
        <v>30.000000000000014</v>
      </c>
      <c r="G9" s="3">
        <f t="shared" si="0"/>
        <v>37.5</v>
      </c>
      <c r="H9" s="3">
        <f t="shared" si="0"/>
        <v>45</v>
      </c>
      <c r="I9" s="3">
        <f t="shared" si="0"/>
        <v>52.500000000000014</v>
      </c>
      <c r="J9" s="3">
        <f t="shared" si="0"/>
        <v>60</v>
      </c>
      <c r="K9" s="3">
        <f t="shared" si="0"/>
        <v>67.5</v>
      </c>
      <c r="L9" s="3">
        <f t="shared" si="0"/>
        <v>75</v>
      </c>
      <c r="M9" s="3">
        <f t="shared" si="0"/>
        <v>82.5</v>
      </c>
      <c r="N9" s="3">
        <f t="shared" si="0"/>
        <v>90</v>
      </c>
      <c r="O9" s="3">
        <f t="shared" si="0"/>
        <v>97.5</v>
      </c>
      <c r="P9" s="3">
        <f t="shared" si="0"/>
        <v>105</v>
      </c>
      <c r="Q9" s="3">
        <f t="shared" si="0"/>
        <v>112.5</v>
      </c>
      <c r="R9" s="3">
        <f t="shared" si="0"/>
        <v>120</v>
      </c>
      <c r="S9" s="3">
        <f t="shared" si="0"/>
        <v>127.5</v>
      </c>
      <c r="T9" s="3">
        <f t="shared" si="0"/>
        <v>135.00000000000003</v>
      </c>
      <c r="U9" s="3">
        <f t="shared" si="0"/>
        <v>142.49999999999997</v>
      </c>
      <c r="V9" s="3">
        <f t="shared" si="0"/>
        <v>150</v>
      </c>
      <c r="W9" s="7">
        <f t="shared" si="2"/>
        <v>652.5</v>
      </c>
      <c r="Z9" s="10" t="s">
        <v>46</v>
      </c>
      <c r="AA9" s="9" t="s">
        <v>47</v>
      </c>
      <c r="AB9" s="9" t="s">
        <v>48</v>
      </c>
      <c r="AC9" s="9" t="s">
        <v>49</v>
      </c>
      <c r="AD9" s="9" t="s">
        <v>50</v>
      </c>
    </row>
    <row r="10" spans="1:30" ht="15" customHeight="1" x14ac:dyDescent="0.25">
      <c r="A10" s="5">
        <v>800</v>
      </c>
      <c r="B10" s="3">
        <f t="shared" si="1"/>
        <v>5</v>
      </c>
      <c r="C10" s="3">
        <f t="shared" si="0"/>
        <v>13</v>
      </c>
      <c r="D10" s="3">
        <f t="shared" si="0"/>
        <v>21</v>
      </c>
      <c r="E10" s="3">
        <f t="shared" si="0"/>
        <v>29</v>
      </c>
      <c r="F10" s="3">
        <f t="shared" si="0"/>
        <v>37.000000000000014</v>
      </c>
      <c r="G10" s="3">
        <f t="shared" si="0"/>
        <v>45</v>
      </c>
      <c r="H10" s="3">
        <f t="shared" si="0"/>
        <v>53</v>
      </c>
      <c r="I10" s="3">
        <f t="shared" si="0"/>
        <v>61</v>
      </c>
      <c r="J10" s="3">
        <f t="shared" si="0"/>
        <v>69</v>
      </c>
      <c r="K10" s="3">
        <f t="shared" si="0"/>
        <v>77</v>
      </c>
      <c r="L10" s="3">
        <f t="shared" si="0"/>
        <v>85</v>
      </c>
      <c r="M10" s="3">
        <f t="shared" si="0"/>
        <v>93</v>
      </c>
      <c r="N10" s="3">
        <f t="shared" si="0"/>
        <v>101</v>
      </c>
      <c r="O10" s="3">
        <f t="shared" si="0"/>
        <v>109</v>
      </c>
      <c r="P10" s="3">
        <f t="shared" si="0"/>
        <v>117</v>
      </c>
      <c r="Q10" s="3">
        <f t="shared" si="0"/>
        <v>125</v>
      </c>
      <c r="R10" s="3">
        <f t="shared" si="0"/>
        <v>133</v>
      </c>
      <c r="S10" s="3">
        <f t="shared" si="0"/>
        <v>141</v>
      </c>
      <c r="T10" s="3">
        <f t="shared" si="0"/>
        <v>149.00000000000003</v>
      </c>
      <c r="U10" s="3">
        <f t="shared" si="0"/>
        <v>156.99999999999997</v>
      </c>
      <c r="V10" s="3">
        <f t="shared" si="0"/>
        <v>165</v>
      </c>
      <c r="W10" s="7">
        <f t="shared" si="2"/>
        <v>696</v>
      </c>
      <c r="Z10" s="10" t="s">
        <v>51</v>
      </c>
      <c r="AA10" s="9" t="s">
        <v>52</v>
      </c>
      <c r="AB10" s="9" t="s">
        <v>53</v>
      </c>
      <c r="AC10" s="9" t="s">
        <v>54</v>
      </c>
      <c r="AD10" s="9" t="s">
        <v>55</v>
      </c>
    </row>
    <row r="11" spans="1:30" ht="15" customHeight="1" x14ac:dyDescent="0.25">
      <c r="A11" s="5">
        <v>850</v>
      </c>
      <c r="B11" s="3">
        <f t="shared" si="1"/>
        <v>10</v>
      </c>
      <c r="C11" s="3">
        <f t="shared" si="0"/>
        <v>18.5</v>
      </c>
      <c r="D11" s="3">
        <f t="shared" si="0"/>
        <v>27</v>
      </c>
      <c r="E11" s="3">
        <f t="shared" si="0"/>
        <v>35.5</v>
      </c>
      <c r="F11" s="3">
        <f t="shared" si="0"/>
        <v>44.000000000000014</v>
      </c>
      <c r="G11" s="3">
        <f t="shared" si="0"/>
        <v>52.5</v>
      </c>
      <c r="H11" s="3">
        <f t="shared" si="0"/>
        <v>61</v>
      </c>
      <c r="I11" s="3">
        <f t="shared" si="0"/>
        <v>69.5</v>
      </c>
      <c r="J11" s="3">
        <f t="shared" si="0"/>
        <v>78</v>
      </c>
      <c r="K11" s="3">
        <f t="shared" si="0"/>
        <v>86.5</v>
      </c>
      <c r="L11" s="3">
        <f t="shared" si="0"/>
        <v>95</v>
      </c>
      <c r="M11" s="3">
        <f t="shared" si="0"/>
        <v>103.5</v>
      </c>
      <c r="N11" s="3">
        <f t="shared" si="0"/>
        <v>112</v>
      </c>
      <c r="O11" s="3">
        <f t="shared" si="0"/>
        <v>120.5</v>
      </c>
      <c r="P11" s="3">
        <f t="shared" si="0"/>
        <v>129</v>
      </c>
      <c r="Q11" s="3">
        <f t="shared" si="0"/>
        <v>137.5</v>
      </c>
      <c r="R11" s="3">
        <f t="shared" si="0"/>
        <v>146</v>
      </c>
      <c r="S11" s="3">
        <f t="shared" si="0"/>
        <v>154.50000000000003</v>
      </c>
      <c r="T11" s="3">
        <f t="shared" si="0"/>
        <v>163.00000000000003</v>
      </c>
      <c r="U11" s="3">
        <f t="shared" si="0"/>
        <v>171.49999999999997</v>
      </c>
      <c r="V11" s="3">
        <f t="shared" si="0"/>
        <v>180</v>
      </c>
      <c r="W11" s="7">
        <f t="shared" si="2"/>
        <v>739.5</v>
      </c>
      <c r="Z11" s="10" t="s">
        <v>56</v>
      </c>
      <c r="AA11" s="9" t="s">
        <v>57</v>
      </c>
      <c r="AB11" s="9" t="s">
        <v>58</v>
      </c>
      <c r="AC11" s="9" t="s">
        <v>59</v>
      </c>
      <c r="AD11" s="9" t="s">
        <v>60</v>
      </c>
    </row>
    <row r="12" spans="1:30" ht="15" customHeight="1" x14ac:dyDescent="0.25">
      <c r="A12" s="5">
        <v>900</v>
      </c>
      <c r="B12" s="3">
        <f t="shared" si="1"/>
        <v>15</v>
      </c>
      <c r="C12" s="3">
        <f t="shared" si="0"/>
        <v>24</v>
      </c>
      <c r="D12" s="3">
        <f t="shared" si="0"/>
        <v>33</v>
      </c>
      <c r="E12" s="3">
        <f t="shared" si="0"/>
        <v>42</v>
      </c>
      <c r="F12" s="3">
        <f t="shared" si="0"/>
        <v>51.000000000000014</v>
      </c>
      <c r="G12" s="3">
        <f t="shared" si="0"/>
        <v>60</v>
      </c>
      <c r="H12" s="3">
        <f t="shared" si="0"/>
        <v>69</v>
      </c>
      <c r="I12" s="3">
        <f t="shared" si="0"/>
        <v>78</v>
      </c>
      <c r="J12" s="3">
        <f t="shared" si="0"/>
        <v>87</v>
      </c>
      <c r="K12" s="3">
        <f t="shared" si="0"/>
        <v>96</v>
      </c>
      <c r="L12" s="3">
        <f t="shared" si="0"/>
        <v>105</v>
      </c>
      <c r="M12" s="3">
        <f t="shared" si="0"/>
        <v>114</v>
      </c>
      <c r="N12" s="3">
        <f t="shared" si="0"/>
        <v>123</v>
      </c>
      <c r="O12" s="3">
        <f t="shared" si="0"/>
        <v>132</v>
      </c>
      <c r="P12" s="3">
        <f t="shared" si="0"/>
        <v>141</v>
      </c>
      <c r="Q12" s="3">
        <f t="shared" si="0"/>
        <v>150</v>
      </c>
      <c r="R12" s="3">
        <f t="shared" si="0"/>
        <v>159</v>
      </c>
      <c r="S12" s="3">
        <f t="shared" si="0"/>
        <v>168.00000000000003</v>
      </c>
      <c r="T12" s="3">
        <f t="shared" si="0"/>
        <v>177.00000000000003</v>
      </c>
      <c r="U12" s="3">
        <f t="shared" si="0"/>
        <v>186</v>
      </c>
      <c r="V12" s="3">
        <f t="shared" si="0"/>
        <v>195</v>
      </c>
      <c r="W12" s="7">
        <f t="shared" si="2"/>
        <v>783</v>
      </c>
    </row>
    <row r="13" spans="1:30" ht="15" customHeight="1" x14ac:dyDescent="0.25">
      <c r="A13" s="5">
        <v>950</v>
      </c>
      <c r="B13" s="3">
        <f t="shared" si="1"/>
        <v>20</v>
      </c>
      <c r="C13" s="3">
        <f t="shared" si="0"/>
        <v>29.5</v>
      </c>
      <c r="D13" s="3">
        <f t="shared" si="0"/>
        <v>39</v>
      </c>
      <c r="E13" s="3">
        <f t="shared" si="0"/>
        <v>48.5</v>
      </c>
      <c r="F13" s="3">
        <f t="shared" si="0"/>
        <v>58</v>
      </c>
      <c r="G13" s="3">
        <f t="shared" si="0"/>
        <v>67.5</v>
      </c>
      <c r="H13" s="3">
        <f t="shared" si="0"/>
        <v>77</v>
      </c>
      <c r="I13" s="3">
        <f t="shared" si="0"/>
        <v>86.5</v>
      </c>
      <c r="J13" s="3">
        <f t="shared" si="0"/>
        <v>96</v>
      </c>
      <c r="K13" s="3">
        <f t="shared" si="0"/>
        <v>105.5</v>
      </c>
      <c r="L13" s="3">
        <f t="shared" si="0"/>
        <v>115</v>
      </c>
      <c r="M13" s="3">
        <f t="shared" si="0"/>
        <v>124.5</v>
      </c>
      <c r="N13" s="3">
        <f t="shared" si="0"/>
        <v>134</v>
      </c>
      <c r="O13" s="3">
        <f t="shared" si="0"/>
        <v>143.5</v>
      </c>
      <c r="P13" s="3">
        <f t="shared" si="0"/>
        <v>153</v>
      </c>
      <c r="Q13" s="3">
        <f t="shared" si="0"/>
        <v>162.5</v>
      </c>
      <c r="R13" s="3">
        <f t="shared" si="0"/>
        <v>172</v>
      </c>
      <c r="S13" s="3">
        <f t="shared" si="0"/>
        <v>181.5</v>
      </c>
      <c r="T13" s="3">
        <f t="shared" si="0"/>
        <v>191</v>
      </c>
      <c r="U13" s="3">
        <f t="shared" si="0"/>
        <v>200.5</v>
      </c>
      <c r="V13" s="3">
        <f t="shared" si="0"/>
        <v>210</v>
      </c>
      <c r="W13" s="7">
        <f t="shared" si="2"/>
        <v>826.5</v>
      </c>
    </row>
    <row r="14" spans="1:30" ht="15" customHeight="1" x14ac:dyDescent="0.25">
      <c r="A14" s="5">
        <v>1000</v>
      </c>
      <c r="B14" s="3">
        <f t="shared" si="1"/>
        <v>25</v>
      </c>
      <c r="C14" s="3">
        <f t="shared" si="0"/>
        <v>35</v>
      </c>
      <c r="D14" s="3">
        <f t="shared" si="0"/>
        <v>45</v>
      </c>
      <c r="E14" s="3">
        <f t="shared" si="0"/>
        <v>55</v>
      </c>
      <c r="F14" s="3">
        <f t="shared" si="0"/>
        <v>65</v>
      </c>
      <c r="G14" s="3">
        <f t="shared" si="0"/>
        <v>75</v>
      </c>
      <c r="H14" s="3">
        <f t="shared" si="0"/>
        <v>85</v>
      </c>
      <c r="I14" s="3">
        <f t="shared" si="0"/>
        <v>95</v>
      </c>
      <c r="J14" s="3">
        <f t="shared" si="0"/>
        <v>105</v>
      </c>
      <c r="K14" s="3">
        <f t="shared" si="0"/>
        <v>115</v>
      </c>
      <c r="L14" s="3">
        <f t="shared" si="0"/>
        <v>125</v>
      </c>
      <c r="M14" s="3">
        <f t="shared" si="0"/>
        <v>135</v>
      </c>
      <c r="N14" s="3">
        <f t="shared" si="0"/>
        <v>145</v>
      </c>
      <c r="O14" s="3">
        <f t="shared" si="0"/>
        <v>155</v>
      </c>
      <c r="P14" s="3">
        <f t="shared" si="0"/>
        <v>165</v>
      </c>
      <c r="Q14" s="3">
        <f t="shared" si="0"/>
        <v>175</v>
      </c>
      <c r="R14" s="3">
        <f t="shared" si="0"/>
        <v>185</v>
      </c>
      <c r="S14" s="3">
        <f t="shared" si="0"/>
        <v>195</v>
      </c>
      <c r="T14" s="3">
        <f t="shared" si="0"/>
        <v>205</v>
      </c>
      <c r="U14" s="3">
        <f t="shared" si="0"/>
        <v>215</v>
      </c>
      <c r="V14" s="3">
        <f t="shared" si="0"/>
        <v>225</v>
      </c>
      <c r="W14" s="7">
        <f t="shared" si="2"/>
        <v>870</v>
      </c>
    </row>
    <row r="15" spans="1:30" ht="15" customHeight="1" x14ac:dyDescent="0.25">
      <c r="A15" s="5">
        <v>1050</v>
      </c>
      <c r="B15" s="3">
        <f t="shared" si="1"/>
        <v>30</v>
      </c>
      <c r="C15" s="3">
        <f t="shared" si="0"/>
        <v>40.5</v>
      </c>
      <c r="D15" s="3">
        <f t="shared" si="0"/>
        <v>51</v>
      </c>
      <c r="E15" s="3">
        <f t="shared" si="0"/>
        <v>61.5</v>
      </c>
      <c r="F15" s="3">
        <f t="shared" si="0"/>
        <v>72</v>
      </c>
      <c r="G15" s="3">
        <f t="shared" si="0"/>
        <v>82.5</v>
      </c>
      <c r="H15" s="3">
        <f t="shared" si="0"/>
        <v>93</v>
      </c>
      <c r="I15" s="3">
        <f t="shared" si="0"/>
        <v>103.5</v>
      </c>
      <c r="J15" s="3">
        <f t="shared" si="0"/>
        <v>114</v>
      </c>
      <c r="K15" s="3">
        <f t="shared" si="0"/>
        <v>124.5</v>
      </c>
      <c r="L15" s="3">
        <f t="shared" si="0"/>
        <v>135</v>
      </c>
      <c r="M15" s="3">
        <f t="shared" si="0"/>
        <v>145.5</v>
      </c>
      <c r="N15" s="3">
        <f t="shared" si="0"/>
        <v>156</v>
      </c>
      <c r="O15" s="3">
        <f t="shared" si="0"/>
        <v>166.5</v>
      </c>
      <c r="P15" s="3">
        <f t="shared" si="0"/>
        <v>177</v>
      </c>
      <c r="Q15" s="3">
        <f t="shared" si="0"/>
        <v>187.5</v>
      </c>
      <c r="R15" s="3">
        <f t="shared" si="0"/>
        <v>198</v>
      </c>
      <c r="S15" s="3">
        <f t="shared" si="0"/>
        <v>208.5</v>
      </c>
      <c r="T15" s="3">
        <f t="shared" si="0"/>
        <v>219</v>
      </c>
      <c r="U15" s="3">
        <f t="shared" si="0"/>
        <v>229.5</v>
      </c>
      <c r="V15" s="3">
        <f t="shared" si="0"/>
        <v>240</v>
      </c>
      <c r="W15" s="7">
        <f t="shared" si="2"/>
        <v>913.5</v>
      </c>
    </row>
    <row r="16" spans="1:30" ht="15" customHeight="1" x14ac:dyDescent="0.25">
      <c r="A16" s="5">
        <v>1100</v>
      </c>
      <c r="B16" s="3">
        <f t="shared" si="1"/>
        <v>35</v>
      </c>
      <c r="C16" s="3">
        <f t="shared" si="0"/>
        <v>46</v>
      </c>
      <c r="D16" s="3">
        <f t="shared" si="0"/>
        <v>57</v>
      </c>
      <c r="E16" s="3">
        <f t="shared" si="0"/>
        <v>68</v>
      </c>
      <c r="F16" s="3">
        <f t="shared" si="0"/>
        <v>79.000000000000028</v>
      </c>
      <c r="G16" s="3">
        <f t="shared" si="0"/>
        <v>90</v>
      </c>
      <c r="H16" s="3">
        <f t="shared" si="0"/>
        <v>101</v>
      </c>
      <c r="I16" s="3">
        <f t="shared" si="0"/>
        <v>112</v>
      </c>
      <c r="J16" s="3">
        <f t="shared" si="0"/>
        <v>123</v>
      </c>
      <c r="K16" s="3">
        <f t="shared" si="0"/>
        <v>134</v>
      </c>
      <c r="L16" s="3">
        <f t="shared" si="0"/>
        <v>145</v>
      </c>
      <c r="M16" s="3">
        <f t="shared" si="0"/>
        <v>156</v>
      </c>
      <c r="N16" s="3">
        <f t="shared" si="0"/>
        <v>167</v>
      </c>
      <c r="O16" s="3">
        <f t="shared" si="0"/>
        <v>178</v>
      </c>
      <c r="P16" s="3">
        <f t="shared" si="0"/>
        <v>189</v>
      </c>
      <c r="Q16" s="3">
        <f t="shared" si="0"/>
        <v>200</v>
      </c>
      <c r="R16" s="3">
        <f t="shared" ref="R16:V34" si="3">($A16*R$3)-$B$1</f>
        <v>211</v>
      </c>
      <c r="S16" s="3">
        <f t="shared" si="3"/>
        <v>222</v>
      </c>
      <c r="T16" s="3">
        <f t="shared" si="3"/>
        <v>233.00000000000006</v>
      </c>
      <c r="U16" s="3">
        <f t="shared" si="3"/>
        <v>244</v>
      </c>
      <c r="V16" s="3">
        <f t="shared" si="3"/>
        <v>255</v>
      </c>
      <c r="W16" s="7">
        <f t="shared" si="2"/>
        <v>957</v>
      </c>
    </row>
    <row r="17" spans="1:23" ht="15" customHeight="1" x14ac:dyDescent="0.25">
      <c r="A17" s="5">
        <v>1150</v>
      </c>
      <c r="B17" s="3">
        <f t="shared" si="1"/>
        <v>40</v>
      </c>
      <c r="C17" s="3">
        <f t="shared" si="1"/>
        <v>51.5</v>
      </c>
      <c r="D17" s="3">
        <f t="shared" si="1"/>
        <v>63</v>
      </c>
      <c r="E17" s="3">
        <f t="shared" si="1"/>
        <v>74.5</v>
      </c>
      <c r="F17" s="3">
        <f t="shared" si="1"/>
        <v>86.000000000000028</v>
      </c>
      <c r="G17" s="3">
        <f t="shared" si="1"/>
        <v>97.5</v>
      </c>
      <c r="H17" s="3">
        <f t="shared" si="1"/>
        <v>109</v>
      </c>
      <c r="I17" s="3">
        <f t="shared" si="1"/>
        <v>120.5</v>
      </c>
      <c r="J17" s="3">
        <f t="shared" si="1"/>
        <v>132</v>
      </c>
      <c r="K17" s="3">
        <f t="shared" si="1"/>
        <v>143.5</v>
      </c>
      <c r="L17" s="3">
        <f t="shared" si="1"/>
        <v>155</v>
      </c>
      <c r="M17" s="3">
        <f t="shared" si="1"/>
        <v>166.5</v>
      </c>
      <c r="N17" s="3">
        <f t="shared" si="1"/>
        <v>178</v>
      </c>
      <c r="O17" s="3">
        <f t="shared" si="1"/>
        <v>189.5</v>
      </c>
      <c r="P17" s="3">
        <f t="shared" si="1"/>
        <v>201</v>
      </c>
      <c r="Q17" s="3">
        <f t="shared" si="1"/>
        <v>212.5</v>
      </c>
      <c r="R17" s="3">
        <f t="shared" si="3"/>
        <v>224</v>
      </c>
      <c r="S17" s="3">
        <f t="shared" si="3"/>
        <v>235.5</v>
      </c>
      <c r="T17" s="3">
        <f t="shared" si="3"/>
        <v>247.00000000000006</v>
      </c>
      <c r="U17" s="3">
        <f t="shared" si="3"/>
        <v>258.5</v>
      </c>
      <c r="V17" s="3">
        <f t="shared" si="3"/>
        <v>270</v>
      </c>
      <c r="W17" s="7">
        <f t="shared" si="2"/>
        <v>1000.5</v>
      </c>
    </row>
    <row r="18" spans="1:23" ht="15" customHeight="1" x14ac:dyDescent="0.25">
      <c r="A18" s="5">
        <v>1200</v>
      </c>
      <c r="B18" s="3">
        <f t="shared" si="1"/>
        <v>45</v>
      </c>
      <c r="C18" s="3">
        <f t="shared" si="1"/>
        <v>57</v>
      </c>
      <c r="D18" s="3">
        <f t="shared" si="1"/>
        <v>69</v>
      </c>
      <c r="E18" s="3">
        <f t="shared" si="1"/>
        <v>81</v>
      </c>
      <c r="F18" s="3">
        <f t="shared" si="1"/>
        <v>93.000000000000028</v>
      </c>
      <c r="G18" s="3">
        <f t="shared" si="1"/>
        <v>105</v>
      </c>
      <c r="H18" s="3">
        <f t="shared" si="1"/>
        <v>117</v>
      </c>
      <c r="I18" s="3">
        <f t="shared" si="1"/>
        <v>129.00000000000003</v>
      </c>
      <c r="J18" s="3">
        <f t="shared" si="1"/>
        <v>141</v>
      </c>
      <c r="K18" s="3">
        <f t="shared" si="1"/>
        <v>153</v>
      </c>
      <c r="L18" s="3">
        <f t="shared" si="1"/>
        <v>165</v>
      </c>
      <c r="M18" s="3">
        <f t="shared" si="1"/>
        <v>177</v>
      </c>
      <c r="N18" s="3">
        <f t="shared" si="1"/>
        <v>189</v>
      </c>
      <c r="O18" s="3">
        <f t="shared" si="1"/>
        <v>201</v>
      </c>
      <c r="P18" s="3">
        <f t="shared" si="1"/>
        <v>213</v>
      </c>
      <c r="Q18" s="3">
        <f t="shared" si="1"/>
        <v>225</v>
      </c>
      <c r="R18" s="3">
        <f t="shared" si="3"/>
        <v>237</v>
      </c>
      <c r="S18" s="3">
        <f t="shared" si="3"/>
        <v>249</v>
      </c>
      <c r="T18" s="3">
        <f t="shared" si="3"/>
        <v>261.00000000000006</v>
      </c>
      <c r="U18" s="3">
        <f t="shared" si="3"/>
        <v>273</v>
      </c>
      <c r="V18" s="3">
        <f t="shared" si="3"/>
        <v>285</v>
      </c>
      <c r="W18" s="7">
        <f t="shared" si="2"/>
        <v>1044</v>
      </c>
    </row>
    <row r="19" spans="1:23" ht="15" customHeight="1" x14ac:dyDescent="0.25">
      <c r="A19" s="5">
        <v>1250</v>
      </c>
      <c r="B19" s="3">
        <f t="shared" si="1"/>
        <v>50</v>
      </c>
      <c r="C19" s="3">
        <f t="shared" si="1"/>
        <v>62.5</v>
      </c>
      <c r="D19" s="3">
        <f t="shared" si="1"/>
        <v>75</v>
      </c>
      <c r="E19" s="3">
        <f t="shared" si="1"/>
        <v>87.5</v>
      </c>
      <c r="F19" s="3">
        <f t="shared" si="1"/>
        <v>100.00000000000003</v>
      </c>
      <c r="G19" s="3">
        <f t="shared" si="1"/>
        <v>112.5</v>
      </c>
      <c r="H19" s="3">
        <f t="shared" si="1"/>
        <v>125</v>
      </c>
      <c r="I19" s="3">
        <f t="shared" si="1"/>
        <v>137.50000000000003</v>
      </c>
      <c r="J19" s="3">
        <f t="shared" si="1"/>
        <v>150</v>
      </c>
      <c r="K19" s="3">
        <f t="shared" si="1"/>
        <v>162.5</v>
      </c>
      <c r="L19" s="3">
        <f t="shared" si="1"/>
        <v>175</v>
      </c>
      <c r="M19" s="3">
        <f t="shared" si="1"/>
        <v>187.5</v>
      </c>
      <c r="N19" s="3">
        <f t="shared" si="1"/>
        <v>200</v>
      </c>
      <c r="O19" s="3">
        <f t="shared" si="1"/>
        <v>212.5</v>
      </c>
      <c r="P19" s="3">
        <f t="shared" si="1"/>
        <v>225</v>
      </c>
      <c r="Q19" s="3">
        <f t="shared" si="1"/>
        <v>237.5</v>
      </c>
      <c r="R19" s="3">
        <f t="shared" si="3"/>
        <v>250</v>
      </c>
      <c r="S19" s="3">
        <f t="shared" si="3"/>
        <v>262.5</v>
      </c>
      <c r="T19" s="3">
        <f t="shared" si="3"/>
        <v>275.00000000000006</v>
      </c>
      <c r="U19" s="3">
        <f t="shared" si="3"/>
        <v>287.5</v>
      </c>
      <c r="V19" s="3">
        <f t="shared" si="3"/>
        <v>300</v>
      </c>
      <c r="W19" s="7">
        <f t="shared" si="2"/>
        <v>1087.5</v>
      </c>
    </row>
    <row r="20" spans="1:23" ht="15" customHeight="1" x14ac:dyDescent="0.25">
      <c r="A20" s="5">
        <v>1300</v>
      </c>
      <c r="B20" s="3">
        <f t="shared" si="1"/>
        <v>55</v>
      </c>
      <c r="C20" s="3">
        <f t="shared" si="1"/>
        <v>68</v>
      </c>
      <c r="D20" s="3">
        <f t="shared" si="1"/>
        <v>81</v>
      </c>
      <c r="E20" s="3">
        <f t="shared" si="1"/>
        <v>94</v>
      </c>
      <c r="F20" s="3">
        <f t="shared" si="1"/>
        <v>107.00000000000003</v>
      </c>
      <c r="G20" s="3">
        <f t="shared" si="1"/>
        <v>120</v>
      </c>
      <c r="H20" s="3">
        <f t="shared" si="1"/>
        <v>133</v>
      </c>
      <c r="I20" s="3">
        <f t="shared" si="1"/>
        <v>146.00000000000003</v>
      </c>
      <c r="J20" s="3">
        <f t="shared" si="1"/>
        <v>159</v>
      </c>
      <c r="K20" s="3">
        <f t="shared" si="1"/>
        <v>172</v>
      </c>
      <c r="L20" s="3">
        <f t="shared" si="1"/>
        <v>185</v>
      </c>
      <c r="M20" s="3">
        <f t="shared" si="1"/>
        <v>198</v>
      </c>
      <c r="N20" s="3">
        <f t="shared" si="1"/>
        <v>211</v>
      </c>
      <c r="O20" s="3">
        <f t="shared" si="1"/>
        <v>224</v>
      </c>
      <c r="P20" s="3">
        <f t="shared" si="1"/>
        <v>237</v>
      </c>
      <c r="Q20" s="3">
        <f t="shared" si="1"/>
        <v>250</v>
      </c>
      <c r="R20" s="3">
        <f t="shared" si="3"/>
        <v>263</v>
      </c>
      <c r="S20" s="3">
        <f t="shared" si="3"/>
        <v>276</v>
      </c>
      <c r="T20" s="3">
        <f t="shared" si="3"/>
        <v>289.00000000000006</v>
      </c>
      <c r="U20" s="3">
        <f t="shared" si="3"/>
        <v>302</v>
      </c>
      <c r="V20" s="3">
        <f t="shared" si="3"/>
        <v>315</v>
      </c>
      <c r="W20" s="7">
        <f t="shared" si="2"/>
        <v>1131</v>
      </c>
    </row>
    <row r="21" spans="1:23" ht="15" customHeight="1" x14ac:dyDescent="0.25">
      <c r="A21" s="5">
        <v>1350</v>
      </c>
      <c r="B21" s="3">
        <f t="shared" ref="B21:Q34" si="4">($A21*B$3)-$B$1</f>
        <v>60</v>
      </c>
      <c r="C21" s="3">
        <f t="shared" si="4"/>
        <v>73.5</v>
      </c>
      <c r="D21" s="3">
        <f t="shared" si="4"/>
        <v>87</v>
      </c>
      <c r="E21" s="3">
        <f t="shared" si="4"/>
        <v>100.5</v>
      </c>
      <c r="F21" s="3">
        <f t="shared" si="4"/>
        <v>114.00000000000003</v>
      </c>
      <c r="G21" s="3">
        <f t="shared" si="4"/>
        <v>127.5</v>
      </c>
      <c r="H21" s="3">
        <f t="shared" si="4"/>
        <v>141</v>
      </c>
      <c r="I21" s="3">
        <f t="shared" si="4"/>
        <v>154.50000000000003</v>
      </c>
      <c r="J21" s="3">
        <f t="shared" si="4"/>
        <v>168</v>
      </c>
      <c r="K21" s="3">
        <f t="shared" si="4"/>
        <v>181.5</v>
      </c>
      <c r="L21" s="3">
        <f t="shared" si="4"/>
        <v>195</v>
      </c>
      <c r="M21" s="3">
        <f t="shared" si="4"/>
        <v>208.5</v>
      </c>
      <c r="N21" s="3">
        <f t="shared" si="4"/>
        <v>222</v>
      </c>
      <c r="O21" s="3">
        <f t="shared" si="4"/>
        <v>235.5</v>
      </c>
      <c r="P21" s="3">
        <f t="shared" si="4"/>
        <v>249</v>
      </c>
      <c r="Q21" s="3">
        <f t="shared" si="4"/>
        <v>262.5</v>
      </c>
      <c r="R21" s="3">
        <f t="shared" si="3"/>
        <v>276</v>
      </c>
      <c r="S21" s="3">
        <f t="shared" si="3"/>
        <v>289.5</v>
      </c>
      <c r="T21" s="3">
        <f t="shared" si="3"/>
        <v>303.00000000000006</v>
      </c>
      <c r="U21" s="3">
        <f t="shared" si="3"/>
        <v>316.5</v>
      </c>
      <c r="V21" s="3">
        <f t="shared" si="3"/>
        <v>330</v>
      </c>
      <c r="W21" s="7">
        <f t="shared" si="2"/>
        <v>1174.5</v>
      </c>
    </row>
    <row r="22" spans="1:23" ht="15" customHeight="1" x14ac:dyDescent="0.25">
      <c r="A22" s="5">
        <v>1400</v>
      </c>
      <c r="B22" s="3">
        <f t="shared" si="4"/>
        <v>65</v>
      </c>
      <c r="C22" s="3">
        <f t="shared" si="4"/>
        <v>79</v>
      </c>
      <c r="D22" s="3">
        <f t="shared" si="4"/>
        <v>93</v>
      </c>
      <c r="E22" s="3">
        <f t="shared" si="4"/>
        <v>107</v>
      </c>
      <c r="F22" s="3">
        <f t="shared" si="4"/>
        <v>121.00000000000003</v>
      </c>
      <c r="G22" s="3">
        <f t="shared" si="4"/>
        <v>135</v>
      </c>
      <c r="H22" s="3">
        <f t="shared" si="4"/>
        <v>149</v>
      </c>
      <c r="I22" s="3">
        <f t="shared" si="4"/>
        <v>163.00000000000003</v>
      </c>
      <c r="J22" s="3">
        <f t="shared" si="4"/>
        <v>177</v>
      </c>
      <c r="K22" s="3">
        <f t="shared" si="4"/>
        <v>191</v>
      </c>
      <c r="L22" s="3">
        <f t="shared" si="4"/>
        <v>205</v>
      </c>
      <c r="M22" s="3">
        <f t="shared" si="4"/>
        <v>219</v>
      </c>
      <c r="N22" s="3">
        <f t="shared" si="4"/>
        <v>233</v>
      </c>
      <c r="O22" s="3">
        <f t="shared" si="4"/>
        <v>247</v>
      </c>
      <c r="P22" s="3">
        <f t="shared" si="4"/>
        <v>261</v>
      </c>
      <c r="Q22" s="3">
        <f t="shared" si="4"/>
        <v>275</v>
      </c>
      <c r="R22" s="3">
        <f t="shared" si="3"/>
        <v>289</v>
      </c>
      <c r="S22" s="3">
        <f t="shared" si="3"/>
        <v>303</v>
      </c>
      <c r="T22" s="3">
        <f t="shared" si="3"/>
        <v>317.00000000000006</v>
      </c>
      <c r="U22" s="3">
        <f t="shared" si="3"/>
        <v>331</v>
      </c>
      <c r="V22" s="3">
        <f t="shared" si="3"/>
        <v>345</v>
      </c>
      <c r="W22" s="7">
        <f t="shared" si="2"/>
        <v>1218</v>
      </c>
    </row>
    <row r="23" spans="1:23" ht="15" customHeight="1" x14ac:dyDescent="0.25">
      <c r="A23" s="5">
        <v>1450</v>
      </c>
      <c r="B23" s="3">
        <f t="shared" si="4"/>
        <v>70</v>
      </c>
      <c r="C23" s="3">
        <f t="shared" si="4"/>
        <v>84.5</v>
      </c>
      <c r="D23" s="3">
        <f t="shared" si="4"/>
        <v>99</v>
      </c>
      <c r="E23" s="3">
        <f t="shared" si="4"/>
        <v>113.5</v>
      </c>
      <c r="F23" s="3">
        <f t="shared" si="4"/>
        <v>128.00000000000003</v>
      </c>
      <c r="G23" s="3">
        <f t="shared" si="4"/>
        <v>142.5</v>
      </c>
      <c r="H23" s="3">
        <f t="shared" si="4"/>
        <v>157</v>
      </c>
      <c r="I23" s="3">
        <f t="shared" si="4"/>
        <v>171.50000000000003</v>
      </c>
      <c r="J23" s="3">
        <f t="shared" si="4"/>
        <v>186</v>
      </c>
      <c r="K23" s="3">
        <f t="shared" si="4"/>
        <v>200.5</v>
      </c>
      <c r="L23" s="3">
        <f t="shared" si="4"/>
        <v>215</v>
      </c>
      <c r="M23" s="3">
        <f t="shared" si="4"/>
        <v>229.5</v>
      </c>
      <c r="N23" s="3">
        <f t="shared" si="4"/>
        <v>244</v>
      </c>
      <c r="O23" s="3">
        <f t="shared" si="4"/>
        <v>258.5</v>
      </c>
      <c r="P23" s="3">
        <f t="shared" si="4"/>
        <v>273</v>
      </c>
      <c r="Q23" s="3">
        <f t="shared" si="4"/>
        <v>287.5</v>
      </c>
      <c r="R23" s="3">
        <f t="shared" si="3"/>
        <v>302</v>
      </c>
      <c r="S23" s="3">
        <f t="shared" si="3"/>
        <v>316.5</v>
      </c>
      <c r="T23" s="3">
        <f t="shared" si="3"/>
        <v>331.00000000000006</v>
      </c>
      <c r="U23" s="3">
        <f t="shared" si="3"/>
        <v>345.49999999999994</v>
      </c>
      <c r="V23" s="3">
        <f t="shared" si="3"/>
        <v>360</v>
      </c>
      <c r="W23" s="7">
        <f t="shared" si="2"/>
        <v>1261.5</v>
      </c>
    </row>
    <row r="24" spans="1:23" ht="15" customHeight="1" x14ac:dyDescent="0.25">
      <c r="A24" s="5">
        <v>1500</v>
      </c>
      <c r="B24" s="3">
        <f t="shared" si="4"/>
        <v>75</v>
      </c>
      <c r="C24" s="3">
        <f t="shared" si="4"/>
        <v>90</v>
      </c>
      <c r="D24" s="3">
        <f t="shared" si="4"/>
        <v>105</v>
      </c>
      <c r="E24" s="3">
        <f t="shared" si="4"/>
        <v>120</v>
      </c>
      <c r="F24" s="3">
        <f t="shared" si="4"/>
        <v>135.00000000000003</v>
      </c>
      <c r="G24" s="3">
        <f t="shared" si="4"/>
        <v>150</v>
      </c>
      <c r="H24" s="3">
        <f t="shared" si="4"/>
        <v>165</v>
      </c>
      <c r="I24" s="3">
        <f t="shared" si="4"/>
        <v>180.00000000000003</v>
      </c>
      <c r="J24" s="3">
        <f t="shared" si="4"/>
        <v>195</v>
      </c>
      <c r="K24" s="3">
        <f t="shared" si="4"/>
        <v>210</v>
      </c>
      <c r="L24" s="3">
        <f t="shared" si="4"/>
        <v>225</v>
      </c>
      <c r="M24" s="3">
        <f t="shared" si="4"/>
        <v>240</v>
      </c>
      <c r="N24" s="3">
        <f t="shared" si="4"/>
        <v>255</v>
      </c>
      <c r="O24" s="3">
        <f t="shared" si="4"/>
        <v>270</v>
      </c>
      <c r="P24" s="3">
        <f t="shared" si="4"/>
        <v>285</v>
      </c>
      <c r="Q24" s="3">
        <f t="shared" si="4"/>
        <v>300</v>
      </c>
      <c r="R24" s="3">
        <f t="shared" si="3"/>
        <v>315</v>
      </c>
      <c r="S24" s="3">
        <f t="shared" si="3"/>
        <v>330</v>
      </c>
      <c r="T24" s="3">
        <f t="shared" si="3"/>
        <v>345.00000000000006</v>
      </c>
      <c r="U24" s="3">
        <f t="shared" si="3"/>
        <v>359.99999999999994</v>
      </c>
      <c r="V24" s="3">
        <f t="shared" si="3"/>
        <v>375</v>
      </c>
      <c r="W24" s="7">
        <f t="shared" si="2"/>
        <v>1305</v>
      </c>
    </row>
    <row r="25" spans="1:23" ht="15" customHeight="1" x14ac:dyDescent="0.25">
      <c r="A25" s="5">
        <v>1550</v>
      </c>
      <c r="B25" s="3">
        <f t="shared" si="4"/>
        <v>80</v>
      </c>
      <c r="C25" s="3">
        <f t="shared" si="4"/>
        <v>95.5</v>
      </c>
      <c r="D25" s="3">
        <f t="shared" si="4"/>
        <v>111</v>
      </c>
      <c r="E25" s="3">
        <f t="shared" si="4"/>
        <v>126.5</v>
      </c>
      <c r="F25" s="3">
        <f t="shared" si="4"/>
        <v>142.00000000000003</v>
      </c>
      <c r="G25" s="3">
        <f t="shared" si="4"/>
        <v>157.5</v>
      </c>
      <c r="H25" s="3">
        <f t="shared" si="4"/>
        <v>173</v>
      </c>
      <c r="I25" s="3">
        <f t="shared" si="4"/>
        <v>188.5</v>
      </c>
      <c r="J25" s="3">
        <f t="shared" si="4"/>
        <v>204</v>
      </c>
      <c r="K25" s="3">
        <f t="shared" si="4"/>
        <v>219.5</v>
      </c>
      <c r="L25" s="3">
        <f t="shared" si="4"/>
        <v>235</v>
      </c>
      <c r="M25" s="3">
        <f t="shared" si="4"/>
        <v>250.5</v>
      </c>
      <c r="N25" s="3">
        <f t="shared" si="4"/>
        <v>266</v>
      </c>
      <c r="O25" s="3">
        <f t="shared" si="4"/>
        <v>281.5</v>
      </c>
      <c r="P25" s="3">
        <f t="shared" si="4"/>
        <v>297</v>
      </c>
      <c r="Q25" s="3">
        <f t="shared" si="4"/>
        <v>312.5</v>
      </c>
      <c r="R25" s="3">
        <f t="shared" si="3"/>
        <v>328</v>
      </c>
      <c r="S25" s="3">
        <f t="shared" si="3"/>
        <v>343.5</v>
      </c>
      <c r="T25" s="3">
        <f t="shared" si="3"/>
        <v>359.00000000000006</v>
      </c>
      <c r="U25" s="3">
        <f t="shared" si="3"/>
        <v>374.49999999999994</v>
      </c>
      <c r="V25" s="3">
        <f t="shared" si="3"/>
        <v>390</v>
      </c>
      <c r="W25" s="7">
        <f t="shared" si="2"/>
        <v>1348.5</v>
      </c>
    </row>
    <row r="26" spans="1:23" ht="15" customHeight="1" x14ac:dyDescent="0.25">
      <c r="A26" s="5">
        <v>1600</v>
      </c>
      <c r="B26" s="3">
        <f t="shared" si="4"/>
        <v>85</v>
      </c>
      <c r="C26" s="3">
        <f t="shared" si="4"/>
        <v>101</v>
      </c>
      <c r="D26" s="3">
        <f t="shared" si="4"/>
        <v>117</v>
      </c>
      <c r="E26" s="3">
        <f t="shared" si="4"/>
        <v>133</v>
      </c>
      <c r="F26" s="3">
        <f t="shared" si="4"/>
        <v>149.00000000000003</v>
      </c>
      <c r="G26" s="3">
        <f t="shared" si="4"/>
        <v>165</v>
      </c>
      <c r="H26" s="3">
        <f t="shared" si="4"/>
        <v>181</v>
      </c>
      <c r="I26" s="3">
        <f t="shared" si="4"/>
        <v>197</v>
      </c>
      <c r="J26" s="3">
        <f t="shared" si="4"/>
        <v>213</v>
      </c>
      <c r="K26" s="3">
        <f t="shared" si="4"/>
        <v>229</v>
      </c>
      <c r="L26" s="3">
        <f t="shared" si="4"/>
        <v>245</v>
      </c>
      <c r="M26" s="3">
        <f t="shared" si="4"/>
        <v>261</v>
      </c>
      <c r="N26" s="3">
        <f t="shared" si="4"/>
        <v>277</v>
      </c>
      <c r="O26" s="3">
        <f t="shared" si="4"/>
        <v>293</v>
      </c>
      <c r="P26" s="3">
        <f t="shared" si="4"/>
        <v>309</v>
      </c>
      <c r="Q26" s="3">
        <f t="shared" si="4"/>
        <v>325</v>
      </c>
      <c r="R26" s="3">
        <f t="shared" si="3"/>
        <v>341</v>
      </c>
      <c r="S26" s="3">
        <f t="shared" si="3"/>
        <v>357</v>
      </c>
      <c r="T26" s="3">
        <f t="shared" si="3"/>
        <v>373.00000000000006</v>
      </c>
      <c r="U26" s="3">
        <f t="shared" si="3"/>
        <v>388.99999999999994</v>
      </c>
      <c r="V26" s="3">
        <f t="shared" si="3"/>
        <v>405</v>
      </c>
      <c r="W26" s="7">
        <f t="shared" si="2"/>
        <v>1392</v>
      </c>
    </row>
    <row r="27" spans="1:23" ht="15" customHeight="1" x14ac:dyDescent="0.25">
      <c r="A27" s="5">
        <v>1650</v>
      </c>
      <c r="B27" s="3">
        <f t="shared" si="4"/>
        <v>90</v>
      </c>
      <c r="C27" s="3">
        <f t="shared" si="4"/>
        <v>106.5</v>
      </c>
      <c r="D27" s="3">
        <f t="shared" si="4"/>
        <v>123</v>
      </c>
      <c r="E27" s="3">
        <f t="shared" si="4"/>
        <v>139.5</v>
      </c>
      <c r="F27" s="3">
        <f t="shared" si="4"/>
        <v>156.00000000000003</v>
      </c>
      <c r="G27" s="3">
        <f t="shared" si="4"/>
        <v>172.5</v>
      </c>
      <c r="H27" s="3">
        <f t="shared" si="4"/>
        <v>189</v>
      </c>
      <c r="I27" s="3">
        <f t="shared" si="4"/>
        <v>205.5</v>
      </c>
      <c r="J27" s="3">
        <f t="shared" si="4"/>
        <v>222</v>
      </c>
      <c r="K27" s="3">
        <f t="shared" si="4"/>
        <v>238.5</v>
      </c>
      <c r="L27" s="3">
        <f t="shared" si="4"/>
        <v>255</v>
      </c>
      <c r="M27" s="3">
        <f t="shared" si="4"/>
        <v>271.5</v>
      </c>
      <c r="N27" s="3">
        <f t="shared" si="4"/>
        <v>288</v>
      </c>
      <c r="O27" s="3">
        <f t="shared" si="4"/>
        <v>304.5</v>
      </c>
      <c r="P27" s="3">
        <f t="shared" si="4"/>
        <v>321</v>
      </c>
      <c r="Q27" s="3">
        <f t="shared" si="4"/>
        <v>337.5</v>
      </c>
      <c r="R27" s="3">
        <f t="shared" si="3"/>
        <v>354</v>
      </c>
      <c r="S27" s="3">
        <f t="shared" si="3"/>
        <v>370.50000000000006</v>
      </c>
      <c r="T27" s="3">
        <f t="shared" si="3"/>
        <v>387.00000000000006</v>
      </c>
      <c r="U27" s="3">
        <f t="shared" si="3"/>
        <v>403.49999999999994</v>
      </c>
      <c r="V27" s="3">
        <f t="shared" si="3"/>
        <v>420</v>
      </c>
      <c r="W27" s="7">
        <f t="shared" si="2"/>
        <v>1435.5</v>
      </c>
    </row>
    <row r="28" spans="1:23" ht="15" customHeight="1" x14ac:dyDescent="0.25">
      <c r="A28" s="5">
        <v>1700</v>
      </c>
      <c r="B28" s="3">
        <f t="shared" si="4"/>
        <v>95</v>
      </c>
      <c r="C28" s="3">
        <f t="shared" si="4"/>
        <v>112</v>
      </c>
      <c r="D28" s="3">
        <f t="shared" si="4"/>
        <v>129</v>
      </c>
      <c r="E28" s="3">
        <f t="shared" si="4"/>
        <v>146</v>
      </c>
      <c r="F28" s="3">
        <f t="shared" si="4"/>
        <v>163.00000000000003</v>
      </c>
      <c r="G28" s="3">
        <f t="shared" si="4"/>
        <v>180</v>
      </c>
      <c r="H28" s="3">
        <f t="shared" si="4"/>
        <v>197</v>
      </c>
      <c r="I28" s="3">
        <f t="shared" si="4"/>
        <v>214</v>
      </c>
      <c r="J28" s="3">
        <f t="shared" si="4"/>
        <v>231</v>
      </c>
      <c r="K28" s="3">
        <f t="shared" si="4"/>
        <v>248</v>
      </c>
      <c r="L28" s="3">
        <f t="shared" si="4"/>
        <v>265</v>
      </c>
      <c r="M28" s="3">
        <f t="shared" si="4"/>
        <v>282</v>
      </c>
      <c r="N28" s="3">
        <f t="shared" si="4"/>
        <v>299</v>
      </c>
      <c r="O28" s="3">
        <f t="shared" si="4"/>
        <v>316</v>
      </c>
      <c r="P28" s="3">
        <f t="shared" si="4"/>
        <v>333</v>
      </c>
      <c r="Q28" s="3">
        <f t="shared" si="4"/>
        <v>350</v>
      </c>
      <c r="R28" s="3">
        <f t="shared" si="3"/>
        <v>367</v>
      </c>
      <c r="S28" s="3">
        <f t="shared" si="3"/>
        <v>384.00000000000006</v>
      </c>
      <c r="T28" s="3">
        <f t="shared" si="3"/>
        <v>401.00000000000006</v>
      </c>
      <c r="U28" s="3">
        <f t="shared" si="3"/>
        <v>417.99999999999994</v>
      </c>
      <c r="V28" s="3">
        <f t="shared" si="3"/>
        <v>435</v>
      </c>
      <c r="W28" s="7">
        <f t="shared" si="2"/>
        <v>1479</v>
      </c>
    </row>
    <row r="29" spans="1:23" ht="15" customHeight="1" x14ac:dyDescent="0.25">
      <c r="A29" s="5">
        <v>1750</v>
      </c>
      <c r="B29" s="3">
        <f t="shared" si="4"/>
        <v>100</v>
      </c>
      <c r="C29" s="3">
        <f t="shared" si="4"/>
        <v>117.5</v>
      </c>
      <c r="D29" s="3">
        <f t="shared" si="4"/>
        <v>135</v>
      </c>
      <c r="E29" s="3">
        <f t="shared" si="4"/>
        <v>152.5</v>
      </c>
      <c r="F29" s="3">
        <f t="shared" si="4"/>
        <v>170.00000000000003</v>
      </c>
      <c r="G29" s="3">
        <f t="shared" si="4"/>
        <v>187.5</v>
      </c>
      <c r="H29" s="3">
        <f t="shared" si="4"/>
        <v>205</v>
      </c>
      <c r="I29" s="3">
        <f t="shared" si="4"/>
        <v>222.5</v>
      </c>
      <c r="J29" s="3">
        <f t="shared" si="4"/>
        <v>240</v>
      </c>
      <c r="K29" s="3">
        <f t="shared" si="4"/>
        <v>257.5</v>
      </c>
      <c r="L29" s="3">
        <f t="shared" si="4"/>
        <v>275</v>
      </c>
      <c r="M29" s="3">
        <f t="shared" si="4"/>
        <v>292.5</v>
      </c>
      <c r="N29" s="3">
        <f t="shared" si="4"/>
        <v>310</v>
      </c>
      <c r="O29" s="3">
        <f t="shared" si="4"/>
        <v>327.5</v>
      </c>
      <c r="P29" s="3">
        <f t="shared" si="4"/>
        <v>345</v>
      </c>
      <c r="Q29" s="3">
        <f t="shared" si="4"/>
        <v>362.5</v>
      </c>
      <c r="R29" s="3">
        <f t="shared" si="3"/>
        <v>380</v>
      </c>
      <c r="S29" s="3">
        <f t="shared" si="3"/>
        <v>397.50000000000006</v>
      </c>
      <c r="T29" s="3">
        <f t="shared" si="3"/>
        <v>415.00000000000006</v>
      </c>
      <c r="U29" s="3">
        <f t="shared" si="3"/>
        <v>432.49999999999994</v>
      </c>
      <c r="V29" s="3">
        <f t="shared" si="3"/>
        <v>450</v>
      </c>
      <c r="W29" s="7">
        <f t="shared" si="2"/>
        <v>1522.5</v>
      </c>
    </row>
    <row r="30" spans="1:23" ht="15" customHeight="1" x14ac:dyDescent="0.25">
      <c r="A30" s="5">
        <v>1800</v>
      </c>
      <c r="B30" s="3">
        <f t="shared" si="4"/>
        <v>105</v>
      </c>
      <c r="C30" s="3">
        <f t="shared" si="4"/>
        <v>123</v>
      </c>
      <c r="D30" s="3">
        <f t="shared" si="4"/>
        <v>141</v>
      </c>
      <c r="E30" s="3">
        <f t="shared" si="4"/>
        <v>159</v>
      </c>
      <c r="F30" s="3">
        <f t="shared" si="4"/>
        <v>177.00000000000003</v>
      </c>
      <c r="G30" s="3">
        <f t="shared" si="4"/>
        <v>195</v>
      </c>
      <c r="H30" s="3">
        <f t="shared" si="4"/>
        <v>213</v>
      </c>
      <c r="I30" s="3">
        <f t="shared" si="4"/>
        <v>231</v>
      </c>
      <c r="J30" s="3">
        <f t="shared" si="4"/>
        <v>249</v>
      </c>
      <c r="K30" s="3">
        <f t="shared" si="4"/>
        <v>267</v>
      </c>
      <c r="L30" s="3">
        <f t="shared" si="4"/>
        <v>285</v>
      </c>
      <c r="M30" s="3">
        <f t="shared" si="4"/>
        <v>303</v>
      </c>
      <c r="N30" s="3">
        <f t="shared" si="4"/>
        <v>321</v>
      </c>
      <c r="O30" s="3">
        <f t="shared" si="4"/>
        <v>339</v>
      </c>
      <c r="P30" s="3">
        <f t="shared" si="4"/>
        <v>357</v>
      </c>
      <c r="Q30" s="3">
        <f t="shared" si="4"/>
        <v>375</v>
      </c>
      <c r="R30" s="3">
        <f t="shared" si="3"/>
        <v>393</v>
      </c>
      <c r="S30" s="3">
        <f t="shared" si="3"/>
        <v>411.00000000000006</v>
      </c>
      <c r="T30" s="3">
        <f t="shared" si="3"/>
        <v>429.00000000000006</v>
      </c>
      <c r="U30" s="3">
        <f t="shared" si="3"/>
        <v>447</v>
      </c>
      <c r="V30" s="3">
        <f t="shared" si="3"/>
        <v>465</v>
      </c>
      <c r="W30" s="7">
        <f t="shared" si="2"/>
        <v>1566</v>
      </c>
    </row>
    <row r="31" spans="1:23" ht="15" customHeight="1" x14ac:dyDescent="0.25">
      <c r="A31" s="5">
        <v>1850</v>
      </c>
      <c r="B31" s="3">
        <f t="shared" si="4"/>
        <v>110</v>
      </c>
      <c r="C31" s="3">
        <f t="shared" si="4"/>
        <v>128.5</v>
      </c>
      <c r="D31" s="3">
        <f t="shared" si="4"/>
        <v>147</v>
      </c>
      <c r="E31" s="3">
        <f t="shared" si="4"/>
        <v>165.5</v>
      </c>
      <c r="F31" s="3">
        <f t="shared" si="4"/>
        <v>184</v>
      </c>
      <c r="G31" s="3">
        <f t="shared" si="4"/>
        <v>202.5</v>
      </c>
      <c r="H31" s="3">
        <f t="shared" si="4"/>
        <v>221</v>
      </c>
      <c r="I31" s="3">
        <f t="shared" si="4"/>
        <v>239.5</v>
      </c>
      <c r="J31" s="3">
        <f t="shared" si="4"/>
        <v>258</v>
      </c>
      <c r="K31" s="3">
        <f t="shared" si="4"/>
        <v>276.5</v>
      </c>
      <c r="L31" s="3">
        <f t="shared" si="4"/>
        <v>295</v>
      </c>
      <c r="M31" s="3">
        <f t="shared" si="4"/>
        <v>313.5</v>
      </c>
      <c r="N31" s="3">
        <f t="shared" si="4"/>
        <v>332</v>
      </c>
      <c r="O31" s="3">
        <f t="shared" si="4"/>
        <v>350.5</v>
      </c>
      <c r="P31" s="3">
        <f t="shared" si="4"/>
        <v>369</v>
      </c>
      <c r="Q31" s="3">
        <f t="shared" si="4"/>
        <v>387.5</v>
      </c>
      <c r="R31" s="3">
        <f t="shared" si="3"/>
        <v>406</v>
      </c>
      <c r="S31" s="3">
        <f t="shared" si="3"/>
        <v>424.50000000000006</v>
      </c>
      <c r="T31" s="3">
        <f t="shared" si="3"/>
        <v>443</v>
      </c>
      <c r="U31" s="3">
        <f t="shared" si="3"/>
        <v>461.5</v>
      </c>
      <c r="V31" s="3">
        <f t="shared" si="3"/>
        <v>480</v>
      </c>
      <c r="W31" s="7">
        <f t="shared" si="2"/>
        <v>1609.5</v>
      </c>
    </row>
    <row r="32" spans="1:23" ht="15" customHeight="1" x14ac:dyDescent="0.25">
      <c r="A32" s="5">
        <v>1900</v>
      </c>
      <c r="B32" s="3">
        <f t="shared" si="4"/>
        <v>115</v>
      </c>
      <c r="C32" s="3">
        <f t="shared" si="4"/>
        <v>134</v>
      </c>
      <c r="D32" s="3">
        <f t="shared" si="4"/>
        <v>153</v>
      </c>
      <c r="E32" s="3">
        <f t="shared" si="4"/>
        <v>172</v>
      </c>
      <c r="F32" s="3">
        <f t="shared" si="4"/>
        <v>191</v>
      </c>
      <c r="G32" s="3">
        <f t="shared" si="4"/>
        <v>210</v>
      </c>
      <c r="H32" s="3">
        <f t="shared" si="4"/>
        <v>229</v>
      </c>
      <c r="I32" s="3">
        <f t="shared" si="4"/>
        <v>248</v>
      </c>
      <c r="J32" s="3">
        <f t="shared" si="4"/>
        <v>267</v>
      </c>
      <c r="K32" s="3">
        <f t="shared" si="4"/>
        <v>286</v>
      </c>
      <c r="L32" s="3">
        <f t="shared" si="4"/>
        <v>305</v>
      </c>
      <c r="M32" s="3">
        <f t="shared" si="4"/>
        <v>324</v>
      </c>
      <c r="N32" s="3">
        <f t="shared" si="4"/>
        <v>343</v>
      </c>
      <c r="O32" s="3">
        <f t="shared" si="4"/>
        <v>362</v>
      </c>
      <c r="P32" s="3">
        <f t="shared" si="4"/>
        <v>381</v>
      </c>
      <c r="Q32" s="3">
        <f t="shared" si="4"/>
        <v>400</v>
      </c>
      <c r="R32" s="3">
        <f t="shared" si="3"/>
        <v>419</v>
      </c>
      <c r="S32" s="3">
        <f t="shared" si="3"/>
        <v>438</v>
      </c>
      <c r="T32" s="3">
        <f t="shared" si="3"/>
        <v>457</v>
      </c>
      <c r="U32" s="3">
        <f t="shared" si="3"/>
        <v>476</v>
      </c>
      <c r="V32" s="3">
        <f t="shared" si="3"/>
        <v>495</v>
      </c>
      <c r="W32" s="7">
        <f t="shared" si="2"/>
        <v>1653</v>
      </c>
    </row>
    <row r="33" spans="1:23" ht="15" customHeight="1" x14ac:dyDescent="0.25">
      <c r="A33" s="5">
        <v>1950</v>
      </c>
      <c r="B33" s="3">
        <f t="shared" si="4"/>
        <v>120</v>
      </c>
      <c r="C33" s="3">
        <f t="shared" si="4"/>
        <v>139.5</v>
      </c>
      <c r="D33" s="3">
        <f t="shared" si="4"/>
        <v>159</v>
      </c>
      <c r="E33" s="3">
        <f t="shared" si="4"/>
        <v>178.5</v>
      </c>
      <c r="F33" s="3">
        <f t="shared" si="4"/>
        <v>198</v>
      </c>
      <c r="G33" s="3">
        <f t="shared" si="4"/>
        <v>217.5</v>
      </c>
      <c r="H33" s="3">
        <f t="shared" si="4"/>
        <v>237</v>
      </c>
      <c r="I33" s="3">
        <f t="shared" si="4"/>
        <v>256.5</v>
      </c>
      <c r="J33" s="3">
        <f t="shared" si="4"/>
        <v>276</v>
      </c>
      <c r="K33" s="3">
        <f t="shared" si="4"/>
        <v>295.5</v>
      </c>
      <c r="L33" s="3">
        <f t="shared" si="4"/>
        <v>315</v>
      </c>
      <c r="M33" s="3">
        <f t="shared" si="4"/>
        <v>334.5</v>
      </c>
      <c r="N33" s="3">
        <f t="shared" si="4"/>
        <v>354</v>
      </c>
      <c r="O33" s="3">
        <f t="shared" si="4"/>
        <v>373.5</v>
      </c>
      <c r="P33" s="3">
        <f t="shared" si="4"/>
        <v>393</v>
      </c>
      <c r="Q33" s="3">
        <f t="shared" si="4"/>
        <v>412.5</v>
      </c>
      <c r="R33" s="3">
        <f t="shared" si="3"/>
        <v>432</v>
      </c>
      <c r="S33" s="3">
        <f t="shared" si="3"/>
        <v>451.5</v>
      </c>
      <c r="T33" s="3">
        <f t="shared" si="3"/>
        <v>471</v>
      </c>
      <c r="U33" s="3">
        <f t="shared" si="3"/>
        <v>490.5</v>
      </c>
      <c r="V33" s="3">
        <f t="shared" si="3"/>
        <v>510</v>
      </c>
      <c r="W33" s="7">
        <f t="shared" si="2"/>
        <v>1696.5</v>
      </c>
    </row>
    <row r="34" spans="1:23" ht="15" customHeight="1" x14ac:dyDescent="0.25">
      <c r="A34" s="5">
        <v>2000</v>
      </c>
      <c r="B34" s="3">
        <f t="shared" si="4"/>
        <v>125</v>
      </c>
      <c r="C34" s="3">
        <f t="shared" si="4"/>
        <v>145</v>
      </c>
      <c r="D34" s="3">
        <f t="shared" si="4"/>
        <v>165</v>
      </c>
      <c r="E34" s="3">
        <f t="shared" si="4"/>
        <v>185</v>
      </c>
      <c r="F34" s="3">
        <f t="shared" si="4"/>
        <v>205</v>
      </c>
      <c r="G34" s="3">
        <f t="shared" si="4"/>
        <v>225</v>
      </c>
      <c r="H34" s="3">
        <f t="shared" si="4"/>
        <v>245</v>
      </c>
      <c r="I34" s="3">
        <f t="shared" si="4"/>
        <v>265</v>
      </c>
      <c r="J34" s="3">
        <f t="shared" si="4"/>
        <v>285</v>
      </c>
      <c r="K34" s="3">
        <f t="shared" si="4"/>
        <v>305</v>
      </c>
      <c r="L34" s="3">
        <f t="shared" si="4"/>
        <v>325</v>
      </c>
      <c r="M34" s="3">
        <f t="shared" si="4"/>
        <v>345</v>
      </c>
      <c r="N34" s="3">
        <f t="shared" si="4"/>
        <v>365</v>
      </c>
      <c r="O34" s="3">
        <f t="shared" si="4"/>
        <v>385</v>
      </c>
      <c r="P34" s="3">
        <f t="shared" si="4"/>
        <v>405</v>
      </c>
      <c r="Q34" s="3">
        <f t="shared" si="4"/>
        <v>425</v>
      </c>
      <c r="R34" s="3">
        <f t="shared" si="3"/>
        <v>445</v>
      </c>
      <c r="S34" s="3">
        <f t="shared" si="3"/>
        <v>465</v>
      </c>
      <c r="T34" s="3">
        <f t="shared" si="3"/>
        <v>485</v>
      </c>
      <c r="U34" s="3">
        <f t="shared" si="3"/>
        <v>505</v>
      </c>
      <c r="V34" s="3">
        <f t="shared" si="3"/>
        <v>525</v>
      </c>
      <c r="W34" s="7">
        <f t="shared" si="2"/>
        <v>1740</v>
      </c>
    </row>
  </sheetData>
  <conditionalFormatting sqref="B4:V34">
    <cfRule type="cellIs" dxfId="4" priority="1" stopIfTrue="1" operator="lessThanOrEqual">
      <formula>30</formula>
    </cfRule>
    <cfRule type="cellIs" dxfId="3" priority="2" stopIfTrue="1" operator="lessThanOrEqual">
      <formula>50</formula>
    </cfRule>
    <cfRule type="cellIs" dxfId="2" priority="3" stopIfTrue="1" operator="lessThanOrEqual">
      <formula>70</formula>
    </cfRule>
    <cfRule type="cellIs" dxfId="1" priority="4" stopIfTrue="1" operator="lessThanOrEqual">
      <formula>90</formula>
    </cfRule>
    <cfRule type="cellIs" dxfId="0" priority="6" operator="greaterThan">
      <formula>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A.M. Castle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Curphey, Matthew</dc:creator>
  <cp:lastModifiedBy>Curphey, Matthew</cp:lastModifiedBy>
  <dcterms:created xsi:type="dcterms:W3CDTF">2026-02-02T17:45:03Z</dcterms:created>
  <dcterms:modified xsi:type="dcterms:W3CDTF">2026-02-11T20:35:15Z</dcterms:modified>
</cp:coreProperties>
</file>